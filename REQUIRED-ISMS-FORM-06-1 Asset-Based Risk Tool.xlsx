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11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45" firstSheet="0" activeTab="0" autoFilterDateGrouping="1"/>
  </bookViews>
  <sheets>
    <sheet xmlns:r="http://schemas.openxmlformats.org/officeDocument/2006/relationships" name="Guidance" sheetId="1" state="visible" r:id="rId1"/>
    <sheet xmlns:r="http://schemas.openxmlformats.org/officeDocument/2006/relationships" name="Assessment Details" sheetId="2" state="visible" r:id="rId2"/>
    <sheet xmlns:r="http://schemas.openxmlformats.org/officeDocument/2006/relationships" name="Risk Assessmen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Pre-treatment risks" sheetId="5" state="hidden" r:id="rId5"/>
    <sheet xmlns:r="http://schemas.openxmlformats.org/officeDocument/2006/relationships" name="Pre-treat risk levels by owner" sheetId="6" state="hidden" r:id="rId6"/>
    <sheet xmlns:r="http://schemas.openxmlformats.org/officeDocument/2006/relationships" name="Post-treatment risks" sheetId="7" state="hidden" r:id="rId7"/>
    <sheet xmlns:r="http://schemas.openxmlformats.org/officeDocument/2006/relationships" name="Risks by risk level pre &amp; post" sheetId="8" state="hidden" r:id="rId8"/>
    <sheet xmlns:r="http://schemas.openxmlformats.org/officeDocument/2006/relationships" name="Treatment option chosen" sheetId="9" state="hidden" r:id="rId9"/>
    <sheet xmlns:r="http://schemas.openxmlformats.org/officeDocument/2006/relationships" name="Treatment cost " sheetId="10" state="hidden" r:id="rId10"/>
    <sheet xmlns:r="http://schemas.openxmlformats.org/officeDocument/2006/relationships" name="Treatment action owner " sheetId="11" state="hidden" r:id="rId11"/>
    <sheet xmlns:r="http://schemas.openxmlformats.org/officeDocument/2006/relationships" name="Reference Controls" sheetId="12" state="visible" r:id="rId12"/>
    <sheet xmlns:r="http://schemas.openxmlformats.org/officeDocument/2006/relationships" name="Example ATV Risks" sheetId="13" state="visible" r:id="rId13"/>
    <sheet xmlns:r="http://schemas.openxmlformats.org/officeDocument/2006/relationships" name="Example Assets" sheetId="14" state="visible" r:id="rId14"/>
    <sheet xmlns:r="http://schemas.openxmlformats.org/officeDocument/2006/relationships" name="Example Threats" sheetId="15" state="visible" r:id="rId15"/>
    <sheet xmlns:r="http://schemas.openxmlformats.org/officeDocument/2006/relationships" name="Likelihood" sheetId="16" state="visible" r:id="rId16"/>
    <sheet xmlns:r="http://schemas.openxmlformats.org/officeDocument/2006/relationships" name="Impact" sheetId="17" state="visible" r:id="rId17"/>
    <sheet xmlns:r="http://schemas.openxmlformats.org/officeDocument/2006/relationships" name="Selection Tables" sheetId="18" state="hidden" r:id="rId18"/>
    <sheet xmlns:r="http://schemas.openxmlformats.org/officeDocument/2006/relationships" name="Pivot tables" sheetId="19" state="hidden" r:id="rId19"/>
  </sheets>
  <definedNames>
    <definedName name="NoRisksPre">'Pivot tables'!$R$10</definedName>
    <definedName name="Slicer_Post_Treatment_Risk_Level">#N/A</definedName>
    <definedName name="Slicer_Risk_level">#N/A</definedName>
    <definedName name="Slicer_Risk_Owner">#N/A</definedName>
    <definedName name="Slicer_Treatment_Action_Owner">#N/A</definedName>
    <definedName name="Slicer_Treatment_Action_Status">#N/A</definedName>
    <definedName name="Slicer_Treatment_option_chosen">#N/A</definedName>
    <definedName name="_xlnm.Print_Area" localSheetId="0">'Guidance'!$B$2:$B$26</definedName>
    <definedName name="_xlnm.Print_Titles" localSheetId="2">'Risk Assessment'!$12:$13,'Risk Assessment'!$B:$H</definedName>
    <definedName name="_xlnm.Print_Area" localSheetId="2">'Risk Assessment'!$A$1:$AD$33</definedName>
    <definedName name="NoRisksPre" localSheetId="3">#REF!</definedName>
    <definedName name="_xlnm.Print_Titles" localSheetId="11">'Reference Controls'!$11:$11</definedName>
    <definedName name="_xlnm.Print_Area" localSheetId="11">'Reference Controls'!$A$1:$D$263</definedName>
    <definedName name="_xlnm.Print_Titles" localSheetId="12">'Example ATV Risks'!$12:$12</definedName>
    <definedName name="_xlnm.Print_Titles" localSheetId="13">'Example Assets'!$12:$12</definedName>
  </definedNames>
  <calcPr calcId="191029" fullCalcOnLoad="1"/>
  <pivotCaches>
    <pivotCache xmlns:r="http://schemas.openxmlformats.org/officeDocument/2006/relationships" cacheId="5" r:id="rId20"/>
    <pivotCache xmlns:r="http://schemas.openxmlformats.org/officeDocument/2006/relationships" cacheId="6" r:id="rId21"/>
    <pivotCache xmlns:r="http://schemas.openxmlformats.org/officeDocument/2006/relationships" cacheId="4" r:id="rId22"/>
    <pivotCache xmlns:r="http://schemas.openxmlformats.org/officeDocument/2006/relationships" cacheId="7" r:id="rId23"/>
  </pivotCaches>
</workbook>
</file>

<file path=xl/styles.xml><?xml version="1.0" encoding="utf-8"?>
<styleSheet xmlns="http://schemas.openxmlformats.org/spreadsheetml/2006/main">
  <numFmts count="2">
    <numFmt numFmtId="164" formatCode="[$-809]dd\ mmmm\ yyyy;@"/>
    <numFmt numFmtId="165" formatCode="_-* #,##0.00_-;\-* #,##0.00_-;_-* &quot;-&quot;??_-;_-@_-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444444"/>
      <sz val="11"/>
      <scheme val="minor"/>
    </font>
    <font>
      <name val="Calibri"/>
      <family val="2"/>
      <b val="1"/>
      <color rgb="FF444444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444444"/>
      <sz val="12"/>
      <scheme val="minor"/>
    </font>
    <font>
      <name val="Calibri"/>
      <family val="2"/>
      <b val="1"/>
      <color theme="1"/>
      <sz val="14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0"/>
      <sz val="14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444444"/>
      <sz val="9"/>
      <u val="single"/>
      <scheme val="minor"/>
    </font>
    <font>
      <name val="Calibri"/>
      <family val="2"/>
      <color rgb="FF444444"/>
      <sz val="9"/>
      <scheme val="minor"/>
    </font>
    <font>
      <name val="Calibri"/>
      <family val="2"/>
      <b val="1"/>
      <color rgb="FF444444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4"/>
      <scheme val="minor"/>
    </font>
    <font>
      <name val="Tahoma"/>
      <family val="2"/>
      <color indexed="81"/>
      <sz val="9"/>
    </font>
    <font>
      <name val="Calibri"/>
      <family val="2"/>
      <b val="1"/>
      <color theme="2" tint="-0.499984740745262"/>
      <sz val="18"/>
      <scheme val="minor"/>
    </font>
    <font>
      <name val="Calibri"/>
      <family val="2"/>
      <b val="1"/>
      <color theme="2" tint="-0.499984740745262"/>
      <sz val="16"/>
      <scheme val="minor"/>
    </font>
    <font>
      <name val="Calibri"/>
      <family val="2"/>
      <i val="1"/>
      <color rgb="FF444444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ck">
        <color theme="2" tint="-0.499984740745262"/>
      </bottom>
      <diagonal/>
    </border>
    <border>
      <left/>
      <right/>
      <top/>
      <bottom style="thick">
        <color rgb="FF009BA4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/>
      <bottom style="thick">
        <color theme="2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120"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left" vertical="top" wrapText="1"/>
      <protection locked="0" hidden="0"/>
    </xf>
    <xf numFmtId="0" fontId="0" fillId="0" borderId="0" applyAlignment="1" pivotButton="0" quotePrefix="0" xfId="0">
      <alignment horizontal="centerContinuous" vertical="top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6" fillId="0" borderId="0" applyAlignment="1" applyProtection="1" pivotButton="0" quotePrefix="0" xfId="0">
      <alignment horizontal="right" vertical="top"/>
      <protection locked="0" hidden="0"/>
    </xf>
    <xf numFmtId="0" fontId="6" fillId="0" borderId="0" applyAlignment="1" applyProtection="1" pivotButton="0" quotePrefix="0" xfId="0">
      <alignment vertical="top"/>
      <protection locked="0" hidden="0"/>
    </xf>
    <xf numFmtId="0" fontId="11" fillId="0" borderId="0" applyAlignment="1" applyProtection="1" pivotButton="0" quotePrefix="0" xfId="0">
      <alignment vertical="top"/>
      <protection locked="0" hidden="0"/>
    </xf>
    <xf numFmtId="0" fontId="13" fillId="0" borderId="0" applyAlignment="1" pivotButton="0" quotePrefix="0" xfId="0">
      <alignment vertical="top"/>
    </xf>
    <xf numFmtId="0" fontId="14" fillId="0" borderId="0" pivotButton="0" quotePrefix="0" xfId="0"/>
    <xf numFmtId="0" fontId="12" fillId="0" borderId="0" applyAlignment="1" pivotButton="0" quotePrefix="0" xfId="0">
      <alignment horizontal="right"/>
    </xf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10" fillId="5" borderId="5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3" fillId="6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/>
    </xf>
    <xf numFmtId="0" fontId="6" fillId="0" borderId="6" applyAlignment="1" pivotButton="0" quotePrefix="0" xfId="0">
      <alignment vertical="top"/>
    </xf>
    <xf numFmtId="0" fontId="3" fillId="6" borderId="0" applyAlignment="1" applyProtection="1" pivotButton="0" quotePrefix="0" xfId="0">
      <alignment vertical="center" wrapText="1"/>
      <protection locked="0" hidden="0"/>
    </xf>
    <xf numFmtId="0" fontId="3" fillId="6" borderId="0" applyAlignment="1" applyProtection="1" pivotButton="0" quotePrefix="0" xfId="0">
      <alignment vertical="center"/>
      <protection locked="0" hidden="0"/>
    </xf>
    <xf numFmtId="0" fontId="3" fillId="6" borderId="0" applyAlignment="1" pivotButton="0" quotePrefix="0" xfId="0">
      <alignment vertical="center"/>
    </xf>
    <xf numFmtId="0" fontId="0" fillId="0" borderId="7" applyAlignment="1" pivotButton="0" quotePrefix="0" xfId="0">
      <alignment vertical="top"/>
    </xf>
    <xf numFmtId="0" fontId="3" fillId="7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left" vertical="center"/>
    </xf>
    <xf numFmtId="0" fontId="6" fillId="0" borderId="7" applyAlignment="1" pivotButton="0" quotePrefix="0" xfId="0">
      <alignment vertical="top"/>
    </xf>
    <xf numFmtId="0" fontId="12" fillId="6" borderId="0" pivotButton="0" quotePrefix="0" xfId="0"/>
    <xf numFmtId="0" fontId="12" fillId="0" borderId="0" pivotButton="0" quotePrefix="0" xfId="0"/>
    <xf numFmtId="0" fontId="16" fillId="6" borderId="0" pivotButton="0" quotePrefix="0" xfId="0"/>
    <xf numFmtId="0" fontId="0" fillId="6" borderId="0" pivotButton="0" quotePrefix="0" xfId="0"/>
    <xf numFmtId="0" fontId="6" fillId="6" borderId="0" applyAlignment="1" pivotButton="0" quotePrefix="0" xfId="0">
      <alignment vertical="top"/>
    </xf>
    <xf numFmtId="0" fontId="17" fillId="0" borderId="0" applyAlignment="1" pivotButton="0" quotePrefix="0" xfId="0">
      <alignment horizontal="center" vertical="top" textRotation="90"/>
    </xf>
    <xf numFmtId="0" fontId="16" fillId="6" borderId="0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0" fontId="19" fillId="0" borderId="0" applyAlignment="1" pivotButton="0" quotePrefix="0" xfId="0">
      <alignment horizontal="left" vertical="center"/>
    </xf>
    <xf numFmtId="0" fontId="20" fillId="8" borderId="9" applyAlignment="1" pivotButton="0" quotePrefix="0" xfId="0">
      <alignment horizontal="left" vertical="top" indent="1"/>
    </xf>
    <xf numFmtId="0" fontId="18" fillId="8" borderId="9" applyAlignment="1" pivotButton="0" quotePrefix="0" xfId="0">
      <alignment horizontal="left" vertical="center" wrapText="1" indent="1"/>
    </xf>
    <xf numFmtId="0" fontId="0" fillId="8" borderId="1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2" borderId="9" applyAlignment="1" pivotButton="0" quotePrefix="0" xfId="0">
      <alignment horizontal="left" vertical="center" wrapText="1" indent="1"/>
    </xf>
    <xf numFmtId="0" fontId="22" fillId="3" borderId="9" applyAlignment="1" pivotButton="0" quotePrefix="0" xfId="0">
      <alignment horizontal="left" vertical="center" wrapText="1" indent="1"/>
    </xf>
    <xf numFmtId="0" fontId="0" fillId="8" borderId="12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21" fillId="4" borderId="9" applyAlignment="1" pivotButton="0" quotePrefix="0" xfId="0">
      <alignment horizontal="left" vertical="center" wrapText="1" indent="1"/>
    </xf>
    <xf numFmtId="0" fontId="0" fillId="8" borderId="13" pivotButton="0" quotePrefix="0" xfId="0"/>
    <xf numFmtId="0" fontId="0" fillId="8" borderId="14" applyAlignment="1" pivotButton="0" quotePrefix="0" xfId="0">
      <alignment horizontal="center" vertical="center"/>
    </xf>
    <xf numFmtId="0" fontId="0" fillId="8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/>
    </xf>
    <xf numFmtId="0" fontId="3" fillId="6" borderId="0" pivotButton="0" quotePrefix="0" xfId="0"/>
    <xf numFmtId="0" fontId="24" fillId="0" borderId="0" applyAlignment="1" pivotButton="0" quotePrefix="0" xfId="0">
      <alignment horizontal="left" vertical="top" readingOrder="1"/>
    </xf>
    <xf numFmtId="3" fontId="0" fillId="0" borderId="0" pivotButton="0" quotePrefix="0" xfId="0"/>
    <xf numFmtId="0" fontId="0" fillId="0" borderId="5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center" wrapText="1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right" vertical="top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6" fillId="0" borderId="7" applyAlignment="1" applyProtection="1" pivotButton="0" quotePrefix="0" xfId="0">
      <alignment vertical="top"/>
      <protection locked="0" hidden="0"/>
    </xf>
    <xf numFmtId="0" fontId="0" fillId="0" borderId="16" pivotButton="0" quotePrefix="0" xfId="0"/>
    <xf numFmtId="0" fontId="0" fillId="0" borderId="6" pivotButton="0" quotePrefix="0" xfId="0"/>
    <xf numFmtId="0" fontId="1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/>
    </xf>
    <xf numFmtId="0" fontId="10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17" fontId="0" fillId="0" borderId="0" applyAlignment="1" applyProtection="1" pivotButton="0" quotePrefix="0" xfId="0">
      <alignment horizontal="left" vertical="top" wrapText="1"/>
      <protection locked="0" hidden="0"/>
    </xf>
    <xf numFmtId="0" fontId="28" fillId="0" borderId="0" applyAlignment="1" pivotButton="0" quotePrefix="0" xfId="0">
      <alignment vertical="top"/>
    </xf>
    <xf numFmtId="0" fontId="6" fillId="0" borderId="17" applyAlignment="1" pivotButton="0" quotePrefix="0" xfId="0">
      <alignment vertical="top"/>
    </xf>
    <xf numFmtId="0" fontId="10" fillId="5" borderId="18" applyAlignment="1" pivotButton="0" quotePrefix="0" xfId="0">
      <alignment vertical="top" wrapText="1"/>
    </xf>
    <xf numFmtId="0" fontId="0" fillId="0" borderId="18" applyAlignment="1" applyProtection="1" pivotButton="0" quotePrefix="0" xfId="0">
      <alignment vertical="top" wrapText="1"/>
      <protection locked="0" hidden="0"/>
    </xf>
    <xf numFmtId="0" fontId="10" fillId="5" borderId="19" applyAlignment="1" pivotButton="0" quotePrefix="0" xfId="0">
      <alignment vertical="top" wrapText="1"/>
    </xf>
    <xf numFmtId="0" fontId="0" fillId="0" borderId="19" applyAlignment="1" applyProtection="1" pivotButton="0" quotePrefix="0" xfId="0">
      <alignment vertical="top" wrapText="1"/>
      <protection locked="0" hidden="0"/>
    </xf>
    <xf numFmtId="164" fontId="0" fillId="0" borderId="19" applyAlignment="1" applyProtection="1" pivotButton="0" quotePrefix="0" xfId="0">
      <alignment vertical="top" wrapText="1"/>
      <protection locked="0" hidden="0"/>
    </xf>
    <xf numFmtId="0" fontId="0" fillId="0" borderId="20" applyAlignment="1" applyProtection="1" pivotButton="0" quotePrefix="0" xfId="0">
      <alignment vertical="top" wrapText="1"/>
      <protection locked="0" hidden="0"/>
    </xf>
    <xf numFmtId="0" fontId="0" fillId="9" borderId="0" applyAlignment="1" pivotButton="0" quotePrefix="0" xfId="0">
      <alignment vertical="top"/>
    </xf>
    <xf numFmtId="0" fontId="0" fillId="9" borderId="0" applyAlignment="1" pivotButton="0" quotePrefix="0" xfId="0">
      <alignment horizontal="centerContinuous" vertical="top"/>
    </xf>
    <xf numFmtId="0" fontId="0" fillId="9" borderId="0" applyAlignment="1" pivotButton="0" quotePrefix="0" xfId="0">
      <alignment horizontal="left" vertical="top"/>
    </xf>
    <xf numFmtId="165" fontId="0" fillId="0" borderId="0" applyAlignment="1" applyProtection="1" pivotButton="0" quotePrefix="0" xfId="0">
      <alignment horizontal="right" vertical="top" wrapText="1"/>
      <protection locked="0" hidden="0"/>
    </xf>
    <xf numFmtId="0" fontId="0" fillId="0" borderId="21" applyAlignment="1" pivotButton="0" quotePrefix="0" xfId="0">
      <alignment vertical="top" wrapText="1"/>
    </xf>
    <xf numFmtId="0" fontId="3" fillId="6" borderId="0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top"/>
      <protection locked="0" hidden="0"/>
    </xf>
    <xf numFmtId="0" fontId="12" fillId="6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left" vertical="center"/>
    </xf>
    <xf numFmtId="0" fontId="3" fillId="7" borderId="4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textRotation="90"/>
    </xf>
    <xf numFmtId="0" fontId="19" fillId="0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textRotation="90"/>
    </xf>
    <xf numFmtId="0" fontId="5" fillId="6" borderId="0" applyAlignment="1" pivotButton="0" quotePrefix="0" xfId="0">
      <alignment vertical="top" wrapText="1"/>
    </xf>
    <xf numFmtId="0" fontId="0" fillId="0" borderId="3" pivotButton="0" quotePrefix="0" xfId="0"/>
    <xf numFmtId="0" fontId="3" fillId="7" borderId="22" applyAlignment="1" pivotButton="0" quotePrefix="0" xfId="0">
      <alignment horizontal="left" vertical="center"/>
    </xf>
    <xf numFmtId="165" fontId="0" fillId="0" borderId="0" applyAlignment="1" applyProtection="1" pivotButton="0" quotePrefix="0" xfId="0">
      <alignment horizontal="right" vertical="top" wrapText="1"/>
      <protection locked="0" hidden="0"/>
    </xf>
    <xf numFmtId="0" fontId="0" fillId="0" borderId="8" pivotButton="0" quotePrefix="0" xfId="0"/>
  </cellXfs>
  <cellStyles count="3">
    <cellStyle name="Normal" xfId="0" builtinId="0"/>
    <cellStyle name="Heading 1" xfId="1" builtinId="16"/>
    <cellStyle name="Heading 2" xfId="2" builtinId="17"/>
  </cellStyles>
  <dxfs count="170">
    <dxf>
      <numFmt numFmtId="0" formatCode="General"/>
    </dxf>
    <dxf>
      <numFmt numFmtId="0" formatCode="General"/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theme="0"/>
      </font>
    </dxf>
    <dxf>
      <fill>
        <patternFill patternType="solid">
          <bgColor theme="3"/>
        </patternFill>
      </fill>
    </dxf>
    <dxf>
      <alignment horizontal="right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theme="0"/>
      </font>
    </dxf>
    <dxf>
      <fill>
        <patternFill patternType="solid">
          <bgColor theme="7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wrapText="1"/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</dxf>
    <dxf>
      <font>
        <name val="Calibri"/>
        <family val="2"/>
        <strike val="0"/>
        <outline val="0"/>
        <shadow val="0"/>
        <condense val="0"/>
        <color rgb="FF444444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rgb="FF444444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</dxf>
    <dxf>
      <alignment horizontal="left" vertical="bottom"/>
    </dxf>
    <dxf>
      <alignment horizontal="left" vertical="bottom"/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left" vertical="bottom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numFmt numFmtId="3" formatCode="#,##0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numFmt numFmtId="0" formatCode="General"/>
    </dxf>
    <dxf>
      <numFmt numFmtId="0" formatCode="General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numFmt numFmtId="0" formatCode="General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numFmt numFmtId="0" formatCode="General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top" wrapText="1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top" wrapText="1"/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" formatCode="#,##0.00"/>
      <fill>
        <patternFill>
          <fgColor indexed="64"/>
          <bgColor indexed="65"/>
        </patternFill>
      </fill>
      <alignment horizontal="righ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top" wrapText="1"/>
      <protection locked="1" hidden="0"/>
    </dxf>
    <dxf>
      <numFmt numFmtId="0" formatCode="General"/>
      <fill>
        <patternFill>
          <fgColor indexed="64"/>
          <bgColor indexed="65"/>
        </patternFill>
      </fill>
      <alignment horizontal="left" vertical="top" wrapText="1"/>
      <protection locked="1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numFmt numFmtId="0" formatCode="General"/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fill>
        <patternFill>
          <fgColor indexed="64"/>
          <bgColor indexed="65"/>
        </patternFill>
      </fill>
      <alignment horizontal="left" vertical="top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protection locked="0" hidden="0"/>
    </dxf>
    <dxf>
      <alignment horizontal="left" vertical="top" wrapText="1"/>
      <protection locked="1" hidden="0"/>
    </dxf>
    <dxf>
      <alignment horizontal="left" vertical="top" wrapText="1"/>
      <protection locked="1" hidden="0"/>
    </dxf>
    <dxf>
      <fill>
        <patternFill>
          <bgColor theme="1" tint="0.3999450666829432"/>
        </patternFill>
      </fill>
    </dxf>
    <dxf>
      <font>
        <b val="1"/>
        <color rgb="FF444444"/>
      </font>
      <fill>
        <patternFill>
          <bgColor rgb="FF92D050"/>
        </patternFill>
      </fill>
    </dxf>
    <dxf>
      <font>
        <b val="1"/>
        <color rgb="FF444444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"/>
        </vertical>
        <horizontal/>
      </border>
    </dxf>
    <dxf>
      <font>
        <b val="1"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"/>
        </vertical>
        <horizontal/>
      </border>
    </dxf>
    <dxf>
      <font>
        <b val="1"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 val="1"/>
        <color theme="0"/>
      </font>
      <fill>
        <patternFill>
          <bgColor theme="2" tint="-0.499984740745262"/>
        </patternFill>
      </fill>
      <border>
        <left/>
        <right/>
        <top/>
        <bottom/>
        <vertical/>
        <horizontal/>
      </border>
    </dxf>
    <dxf>
      <font>
        <color rgb="FF444444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</dxfs>
  <tableStyles count="3" defaultTableStyle="TableStyleMedium2" defaultPivotStyle="PivotStyleLight16">
    <tableStyle name="CertiKit Slicer 2" pivot="0" table="0" count="10">
      <tableStyleElement type="wholeTable" dxfId="169"/>
      <tableStyleElement type="headerRow" dxfId="168"/>
    </tableStyle>
    <tableStyle name="CertiKit table style" pivot="0" count="4">
      <tableStyleElement type="wholeTable" dxfId="167"/>
      <tableStyleElement type="headerRow" dxfId="166"/>
      <tableStyleElement type="firstRowStripe" dxfId="165"/>
      <tableStyleElement type="secondRowStripe" dxfId="164"/>
    </tableStyle>
    <tableStyle name="CertiKit table style 2" pivot="0" count="4">
      <tableStyleElement type="wholeTable" dxfId="163"/>
      <tableStyleElement type="headerRow" dxfId="162"/>
      <tableStyleElement type="firstRowStripe" dxfId="161"/>
      <tableStyleElement type="secondRowStripe" dxfId="16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pivotCacheDefinition" Target="/xl/pivotCache/pivotCacheDefinition1.xml" Id="rId20"/><Relationship Type="http://schemas.openxmlformats.org/officeDocument/2006/relationships/pivotCacheDefinition" Target="/xl/pivotCache/pivotCacheDefinition2.xml" Id="rId21"/><Relationship Type="http://schemas.openxmlformats.org/officeDocument/2006/relationships/pivotCacheDefinition" Target="/xl/pivotCache/pivotCacheDefinition3.xml" Id="rId22"/><Relationship Type="http://schemas.openxmlformats.org/officeDocument/2006/relationships/pivotCacheDefinition" Target="/xl/pivotCache/pivotCacheDefinition4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pivotSource>
    <name>[ISMS-FORM-06-1 Asset-Based Risk Tool.xlsx]Post-treatment risks!PostTreatmentRisks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rgbClr val="444444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GB" sz="1400" b="0" i="0" baseline="0">
                <a:solidFill>
                  <a:schemeClr val="tx1"/>
                </a:solidFill>
                <effectLst/>
              </a:rPr>
              <a:t>Number of post-treatment risks</a:t>
            </a:r>
            <a:endParaRPr lang="en-GB" sz="1400">
              <a:solidFill>
                <a:schemeClr val="tx1"/>
              </a:solidFill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rgbClr val="444444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92D05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2"/>
        <spPr>
          <a:solidFill xmlns:a="http://schemas.openxmlformats.org/drawingml/2006/main">
            <a:srgbClr val="FFC00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3"/>
        <spPr>
          <a:solidFill xmlns:a="http://schemas.openxmlformats.org/drawingml/2006/main">
            <a:srgbClr val="FF000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rgbClr val="92D05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6"/>
        <spPr>
          <a:solidFill xmlns:a="http://schemas.openxmlformats.org/drawingml/2006/main">
            <a:srgbClr val="FFC00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7"/>
        <spPr>
          <a:solidFill xmlns:a="http://schemas.openxmlformats.org/drawingml/2006/main">
            <a:srgbClr val="FF000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rgbClr val="92D05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10"/>
        <spPr>
          <a:solidFill xmlns:a="http://schemas.openxmlformats.org/drawingml/2006/main">
            <a:srgbClr val="FFC00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  <pivotFmt>
        <idx val="11"/>
        <spPr>
          <a:solidFill xmlns:a="http://schemas.openxmlformats.org/drawingml/2006/main">
            <a:srgbClr val="FF0000"/>
          </a:solidFill>
          <a:ln xmlns:a="http://schemas.openxmlformats.org/drawingml/2006/main" w="25400">
            <a:solidFill>
              <a:schemeClr val="lt1"/>
            </a:solidFill>
            <a:prstDash val="solid"/>
          </a:ln>
          <a:sp3d xmlns:a="http://schemas.openxmlformats.org/drawingml/2006/main" contourW="25400">
            <contourClr rgb="00000000"/>
          </a:sp3d>
        </spPr>
      </pivotFmt>
    </pivotFmts>
    <plotArea>
      <layout/>
      <pie3DChart>
        <varyColors val="1"/>
        <ser>
          <idx val="0"/>
          <order val="0"/>
          <tx>
            <strRef>
              <f>'Post-treatment risks'!$C$12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2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'Post-treatment risks'!$B$13:$B$15</f>
              <strCache>
                <ptCount val="3"/>
                <pt idx="0">
                  <v xml:space="preserve"> Low</v>
                </pt>
                <pt idx="1">
                  <v xml:space="preserve"> Medium</v>
                </pt>
                <pt idx="2">
                  <v xml:space="preserve"> High</v>
                </pt>
              </strCache>
            </strRef>
          </cat>
          <val>
            <numRef>
              <f>'Post-treatment risks'!$C$13:$C$15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pivotSource>
    <name>[ISMS-FORM-06-1 Asset-Based Risk Tool.xlsx]Risks by risk level pre &amp; post!RisksByRiskLevelPre&amp;PostTreatment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solidFill>
                  <a:schemeClr val="tx1"/>
                </a:solidFill>
                <effectLst/>
              </a:rPr>
              <a:t>Number of risks by risk level pre and post treatment</a:t>
            </a:r>
            <a:endParaRPr lang="en-GB" sz="1400">
              <a:solidFill>
                <a:schemeClr val="tx1"/>
              </a:solidFill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bg2">
              <a:lumMod val="5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bg2">
              <a:lumMod val="9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bg2">
              <a:lumMod val="5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</pivotFmt>
      <pivotFmt>
        <idx val="3"/>
        <spPr>
          <a:solidFill xmlns:a="http://schemas.openxmlformats.org/drawingml/2006/main">
            <a:schemeClr val="bg2">
              <a:lumMod val="5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bg2">
              <a:lumMod val="9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bg2">
              <a:lumMod val="5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bg2">
              <a:lumMod val="90000"/>
            </a:schemeClr>
          </a:solidFill>
          <a:ln xmlns:a="http://schemas.openxmlformats.org/drawingml/2006/main">
            <a:noFill/>
            <a:prstDash val="solid"/>
          </a:ln>
          <a:sp3d xmlns:a="http://schemas.openxmlformats.org/drawingml/2006/main"/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'Risks by risk level pre &amp; post'!$C$12</f>
              <strCache>
                <ptCount val="1"/>
                <pt idx="0">
                  <v xml:space="preserve">Pre-treatment </v>
                </pt>
              </strCache>
            </strRef>
          </tx>
          <spPr>
            <a:solidFill xmlns:a="http://schemas.openxmlformats.org/drawingml/2006/main">
              <a:schemeClr val="bg2">
                <a:lumMod val="50000"/>
              </a:schemeClr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'Risks by risk level pre &amp; post'!$B$13:$B$15</f>
              <strCache>
                <ptCount val="3"/>
                <pt idx="0">
                  <v xml:space="preserve"> Low</v>
                </pt>
                <pt idx="1">
                  <v xml:space="preserve"> Medium</v>
                </pt>
                <pt idx="2">
                  <v xml:space="preserve"> High</v>
                </pt>
              </strCache>
            </strRef>
          </cat>
          <val>
            <numRef>
              <f>'Risks by risk level pre &amp; post'!$C$13:$C$15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'Risks by risk level pre &amp; post'!$D$12</f>
              <strCache>
                <ptCount val="1"/>
                <pt idx="0">
                  <v xml:space="preserve">Post-treatment </v>
                </pt>
              </strCache>
            </strRef>
          </tx>
          <spPr>
            <a:solidFill xmlns:a="http://schemas.openxmlformats.org/drawingml/2006/main">
              <a:schemeClr val="bg2">
                <a:lumMod val="90000"/>
              </a:schemeClr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'Risks by risk level pre &amp; post'!$B$13:$B$15</f>
              <strCache>
                <ptCount val="3"/>
                <pt idx="0">
                  <v xml:space="preserve"> Low</v>
                </pt>
                <pt idx="1">
                  <v xml:space="preserve"> Medium</v>
                </pt>
                <pt idx="2">
                  <v xml:space="preserve"> High</v>
                </pt>
              </strCache>
            </strRef>
          </cat>
          <val>
            <numRef>
              <f>'Risks by risk level pre &amp; post'!$D$13:$D$15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557795048"/>
        <axId val="557795376"/>
        <axId val="1000"/>
      </bar3DChart>
      <catAx>
        <axId val="5577950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7795376"/>
        <crosses val="autoZero"/>
        <auto val="1"/>
        <lblAlgn val="ctr"/>
        <lblOffset val="100"/>
        <noMultiLvlLbl val="0"/>
      </catAx>
      <valAx>
        <axId val="55779537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7795048"/>
        <crosses val="autoZero"/>
        <crossBetween val="between"/>
        <majorUnit val="2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Ken Holmes</author>
    <author>Mark Clifton</author>
  </authors>
  <commentList>
    <comment ref="B12" authorId="0" shapeId="0">
      <text>
        <t>This section describes the nature of the risk and, as required by the ISO27001 standard, the risk owner.</t>
      </text>
    </comment>
    <comment ref="I12" authorId="0" shapeId="0">
      <text>
        <t>This is an assessment of the level of current risk, taking into account any controls already in place to address it.</t>
      </text>
    </comment>
    <comment ref="P12" authorId="0" shapeId="0">
      <text>
        <t>For those risks that are not accepted, a plan must be in place to take action to address the risk.</t>
      </text>
    </comment>
    <comment ref="X12" authorId="0" shapeId="0">
      <text>
        <t>This section is used to assess what the level of risk will be, once the treatment actions have been carried out.</t>
      </text>
    </comment>
    <comment ref="B13" authorId="0" shapeId="0">
      <text>
        <t>Enter a reference number here.</t>
      </text>
    </comment>
    <comment ref="C13" authorId="0" shapeId="0">
      <text>
        <t>The logical collection of assets that is under consideration.</t>
      </text>
    </comment>
    <comment ref="D13" authorId="0" shapeId="0">
      <text>
        <t>The individual asset (or sub-group) that is being assessed.</t>
      </text>
    </comment>
    <comment ref="E13" authorId="1" shapeId="0">
      <text>
        <t xml:space="preserve">What may happen if the asset's vulnerabilities are exploited by a specific entity.
</t>
      </text>
    </comment>
    <comment ref="F13" authorId="1" shapeId="0">
      <text>
        <t>A weakness that could be exploited by a threat to expose the asset to compromise.</t>
      </text>
    </comment>
    <comment ref="G13" authorId="0" shapeId="0">
      <text>
        <t>Is this a risk to:
C = Confidentiality
I = Integrity
A = Availability
or a combination of these?</t>
      </text>
    </comment>
    <comment ref="H13" authorId="0" shapeId="0">
      <text>
        <t>Name of the person responsible for the risk.</t>
      </text>
    </comment>
    <comment ref="I13" authorId="0" shapeId="0">
      <text>
        <t>Existing controls which could lessen the risk likelihood and/or impact.</t>
      </text>
    </comment>
    <comment ref="J13" authorId="0" shapeId="0">
      <text>
        <t>Select a score from 1 to 5, where 1 is a low likelihood and 5 is high.</t>
      </text>
    </comment>
    <comment ref="K13" authorId="0" shapeId="0">
      <text>
        <t>Reasoning for giving that likelihood score.</t>
      </text>
    </comment>
    <comment ref="L13" authorId="0" shapeId="0">
      <text>
        <t>Select a score from 1 to 5, where 1 is low impact and 5 is high.</t>
      </text>
    </comment>
    <comment ref="M13" authorId="0" shapeId="0">
      <text>
        <t>Brief explanation of why the impact score was assigned.</t>
      </text>
    </comment>
    <comment ref="N13" authorId="0" shapeId="0">
      <text>
        <t>Risk score of between 1 and 25. This field will be automatically generated.</t>
      </text>
    </comment>
    <comment ref="O13" authorId="0" shapeId="0">
      <text>
        <t>Risk level of low, medium or high, depending on the risk score. This field will be automatically generated.</t>
      </text>
    </comment>
    <comment ref="P13" authorId="0" shapeId="0">
      <text>
        <t>Select a risk treatment option from the drop-down menu.</t>
      </text>
    </comment>
    <comment ref="Q13" authorId="0" shapeId="0">
      <text>
        <t xml:space="preserve">If appropriate, record the proposed controls intended to address the risk. These may be guided by ISO27001 Annex A reference controls, or taken from another source. </t>
      </text>
    </comment>
    <comment ref="R13" authorId="0" shapeId="0">
      <text>
        <t>If appropriate, give the specific reference information of the control(s) used to address the risk.</t>
      </text>
    </comment>
    <comment ref="S13" authorId="0" shapeId="0">
      <text>
        <t>How much money will the proposed control cost?</t>
      </text>
    </comment>
    <comment ref="T13" authorId="0" shapeId="0">
      <text>
        <t>The person or role tasked with completing the treatment action.</t>
      </text>
    </comment>
    <comment ref="U13" authorId="0" shapeId="0">
      <text>
        <t>The date or timeframe by which the treatment action must be completed.</t>
      </text>
    </comment>
    <comment ref="V13" authorId="0" shapeId="0">
      <text>
        <t>A dated narrative of progress towards the completion of the treatment action.</t>
      </text>
    </comment>
    <comment ref="W13" authorId="0" shapeId="0">
      <text>
        <t>Whether the treatment action has been completed.</t>
      </text>
    </comment>
    <comment ref="X13" authorId="0" shapeId="0">
      <text>
        <t>Select a score from 1 to 5, where 1 is a low likelihood and 5 is high.</t>
      </text>
    </comment>
    <comment ref="Y13" authorId="0" shapeId="0">
      <text>
        <t>Reasoning for giving that likelihood score.</t>
      </text>
    </comment>
    <comment ref="Z13" authorId="0" shapeId="0">
      <text>
        <t>Select a score from 1 to 5, where 1 is low impact and 5 is high.</t>
      </text>
    </comment>
    <comment ref="AA13" authorId="0" shapeId="0">
      <text>
        <t>Reasoning for giving that impact score.</t>
      </text>
    </comment>
    <comment ref="AB13" authorId="0" shapeId="0">
      <text>
        <t>Risk score of between 1 and 25. This field will be automatically generated.</t>
      </text>
    </comment>
    <comment ref="AC13" authorId="0" shapeId="0">
      <text>
        <t>Risk level of low, medium or high, depending on the risk score. This field will be automatically generated.</t>
      </text>
    </comment>
    <comment ref="AD13" authorId="0" shapeId="0">
      <text>
        <t>Enter any other comments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4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1</colOff>
      <row>1</row>
      <rowOff>0</rowOff>
    </from>
    <to>
      <col>1</col>
      <colOff>2959969</colOff>
      <row>5</row>
      <rowOff>7620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1" y="190500"/>
          <a:ext cx="2956158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860900</colOff>
      <row>6</row>
      <rowOff>5490</rowOff>
    </to>
    <pic>
      <nvPicPr>
        <cNvPr id="3" name="Picture 2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3</col>
      <colOff>1384775</colOff>
      <row>6</row>
      <rowOff>5490</rowOff>
    </to>
    <pic>
      <nvPicPr>
        <cNvPr id="11" name="Picture 10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727800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</col>
      <colOff>0</colOff>
      <row>35</row>
      <rowOff>0</rowOff>
    </from>
    <to>
      <col>6</col>
      <colOff>904050</colOff>
      <row>53</row>
      <rowOff>171000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695324</colOff>
      <row>35</row>
      <rowOff>0</rowOff>
    </from>
    <to>
      <col>25</col>
      <colOff>572474</colOff>
      <row>53</row>
      <rowOff>171000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9525</colOff>
      <row>1</row>
      <rowOff>9525</rowOff>
    </from>
    <to>
      <col>4</col>
      <colOff>204236</colOff>
      <row>6</row>
      <rowOff>15015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00025" y="200025"/>
          <a:ext cx="2537861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2727800</colOff>
      <row>6</row>
      <rowOff>5490</rowOff>
    </to>
    <pic>
      <nvPicPr>
        <cNvPr id="3" name="Picture 2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727800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3</col>
      <colOff>756125</colOff>
      <row>6</row>
      <rowOff>5490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1289525</colOff>
      <row>6</row>
      <rowOff>5490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1213325</colOff>
      <row>6</row>
      <rowOff>5490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3</col>
      <colOff>860900</colOff>
      <row>6</row>
      <rowOff>5490</rowOff>
    </to>
    <pic>
      <nvPicPr>
        <cNvPr id="3" name="Picture 2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727800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4</col>
      <colOff>51275</colOff>
      <row>6</row>
      <rowOff>5490</rowOff>
    </to>
    <pic>
      <nvPicPr>
        <cNvPr id="3" name="Picture 2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727800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ark Clifton" refreshedDate="43998.40882395834" createdVersion="6" refreshedVersion="6" minRefreshableVersion="3" recordCount="3" r:id="rId1">
  <cacheSource type="worksheet">
    <worksheetSource name="PreTreatmentRisksByRiskLevel"/>
  </cacheSource>
  <cacheFields count="2">
    <cacheField name="Risk level" uniqueList="1" numFmtId="0" sqlType="0" hierarchy="0" level="0" databaseField="1">
      <sharedItems count="3">
        <s v=" Low"/>
        <s v=" Medium"/>
        <s v=" High"/>
      </sharedItems>
    </cacheField>
    <cacheField name="Pre-treatment" uniqueList="1" numFmtId="0" sqlType="0" hierarchy="0" level="0" databaseField="1">
      <sharedItems count="0" containsInteger="1" containsNumber="1" containsSemiMixedTypes="0" containsString="0" minValue="0" maxValue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Mark Clifton" refreshedDate="43998.40882418981" missingItemsLimit="0" createdVersion="6" refreshedVersion="6" minRefreshableVersion="3" recordCount="20" r:id="rId1">
  <cacheSource type="worksheet">
    <worksheetSource name="RiskAssessment"/>
  </cacheSource>
  <cacheFields count="29">
    <cacheField name="Ref" uniqueList="1" numFmtId="0" sqlType="0" hierarchy="0" level="0" databaseField="1">
      <sharedItems count="0" containsInteger="1" containsNumber="1" containsSemiMixedTypes="0" containsString="0" minValue="1" maxValue="20"/>
    </cacheField>
    <cacheField name="Asset Group" uniqueList="1" numFmtId="0" sqlType="0" hierarchy="0" level="0" databaseField="1">
      <sharedItems count="0" containsBlank="1" containsNonDate="0" containsString="0"/>
    </cacheField>
    <cacheField name="Asset" uniqueList="1" numFmtId="0" sqlType="0" hierarchy="0" level="0" databaseField="1">
      <sharedItems count="0" containsBlank="1" containsNonDate="0" containsString="0"/>
    </cacheField>
    <cacheField name="Threat" uniqueList="1" numFmtId="0" sqlType="0" hierarchy="0" level="0" databaseField="1">
      <sharedItems count="0" containsBlank="1" containsNonDate="0" containsString="0"/>
    </cacheField>
    <cacheField name="Vulnerability" uniqueList="1" numFmtId="0" sqlType="0" hierarchy="0" level="0" databaseField="1">
      <sharedItems count="0" containsBlank="1" containsNonDate="0" containsString="0"/>
    </cacheField>
    <cacheField name="Risk Type" uniqueList="1" numFmtId="0" sqlType="0" hierarchy="0" level="0" databaseField="1">
      <sharedItems count="1">
        <s v="Select…"/>
      </sharedItems>
    </cacheField>
    <cacheField name="Risk Owner" uniqueList="1" numFmtId="0" sqlType="0" hierarchy="0" level="0" databaseField="1">
      <sharedItems count="1" containsBlank="1" containsNonDate="0" containsString="0">
        <m/>
      </sharedItems>
    </cacheField>
    <cacheField name="Existing Controls" uniqueList="1" numFmtId="0" sqlType="0" hierarchy="0" level="0" databaseField="1">
      <sharedItems count="0" containsBlank="1" containsNonDate="0" containsString="0"/>
    </cacheField>
    <cacheField name="Likelihood" uniqueList="1" numFmtId="0" sqlType="0" hierarchy="0" level="0" databaseField="1">
      <sharedItems count="0"/>
    </cacheField>
    <cacheField name="Likelihood Rationale" uniqueList="1" numFmtId="0" sqlType="0" hierarchy="0" level="0" databaseField="1">
      <sharedItems count="0" containsBlank="1" containsNonDate="0" containsString="0"/>
    </cacheField>
    <cacheField name="Impact" uniqueList="1" numFmtId="0" sqlType="0" hierarchy="0" level="0" databaseField="1">
      <sharedItems count="0"/>
    </cacheField>
    <cacheField name="Impact Rationale" uniqueList="1" numFmtId="0" sqlType="0" hierarchy="0" level="0" databaseField="1">
      <sharedItems count="0" containsBlank="1" containsNonDate="0" containsString="0"/>
    </cacheField>
    <cacheField name="Risk Score" uniqueList="1" numFmtId="0" sqlType="0" hierarchy="0" level="0" databaseField="1">
      <sharedItems count="0"/>
    </cacheField>
    <cacheField name="Risk Level" uniqueList="1" numFmtId="0" sqlType="0" hierarchy="0" level="0" databaseField="1">
      <sharedItems count="1">
        <s v="Calculated"/>
      </sharedItems>
    </cacheField>
    <cacheField name="Treatment Option Chosen" uniqueList="1" numFmtId="0" sqlType="0" hierarchy="0" level="0" databaseField="1">
      <sharedItems count="1">
        <s v="Select…"/>
      </sharedItems>
    </cacheField>
    <cacheField name="Proposed Treatment Action" uniqueList="1" numFmtId="0" sqlType="0" hierarchy="0" level="0" databaseField="1">
      <sharedItems count="0" containsBlank="1" containsNonDate="0" containsString="0"/>
    </cacheField>
    <cacheField name="Annex A/Control Reference" uniqueList="1" numFmtId="0" sqlType="0" hierarchy="0" level="0" databaseField="1">
      <sharedItems count="0" containsBlank="1" containsNonDate="0" containsString="0"/>
    </cacheField>
    <cacheField name="Treatment Cost" uniqueList="1" numFmtId="43" sqlType="0" hierarchy="0" level="0" databaseField="1">
      <sharedItems count="0" containsInteger="1" containsNumber="1" containsSemiMixedTypes="0" containsString="0" minValue="0" maxValue="0"/>
    </cacheField>
    <cacheField name="Treatment Action Owner" uniqueList="1" numFmtId="0" sqlType="0" hierarchy="0" level="0" databaseField="1">
      <sharedItems count="1" containsBlank="1" containsNonDate="0" containsString="0">
        <m/>
      </sharedItems>
    </cacheField>
    <cacheField name="Treatment Action Timescale" uniqueList="1" numFmtId="0" sqlType="0" hierarchy="0" level="0" databaseField="1">
      <sharedItems count="0" containsBlank="1" containsNonDate="0" containsString="0"/>
    </cacheField>
    <cacheField name="Treatment Action Progress" uniqueList="1" numFmtId="0" sqlType="0" hierarchy="0" level="0" databaseField="1">
      <sharedItems count="0" containsBlank="1" containsNonDate="0" containsString="0"/>
    </cacheField>
    <cacheField name="Treatment Action Status" uniqueList="1" numFmtId="0" sqlType="0" hierarchy="0" level="0" databaseField="1">
      <sharedItems count="0"/>
    </cacheField>
    <cacheField name="Post-Treatment Likelihood" uniqueList="1" numFmtId="0" sqlType="0" hierarchy="0" level="0" databaseField="1">
      <sharedItems count="0"/>
    </cacheField>
    <cacheField name="Post-Treatment Likelihood Rationale" uniqueList="1" numFmtId="0" sqlType="0" hierarchy="0" level="0" databaseField="1">
      <sharedItems count="0" containsBlank="1" containsNonDate="0" containsString="0"/>
    </cacheField>
    <cacheField name="Post- Treatment Impact" uniqueList="1" numFmtId="0" sqlType="0" hierarchy="0" level="0" databaseField="1">
      <sharedItems count="0"/>
    </cacheField>
    <cacheField name="Post-Treatment Impact Rationale" uniqueList="1" numFmtId="0" sqlType="0" hierarchy="0" level="0" databaseField="1">
      <sharedItems count="0" containsBlank="1" containsNonDate="0" containsString="0"/>
    </cacheField>
    <cacheField name="Post-Treatment Risk Score" uniqueList="1" numFmtId="0" sqlType="0" hierarchy="0" level="0" databaseField="1">
      <sharedItems count="0"/>
    </cacheField>
    <cacheField name="Post-Treatment Risk Level" uniqueList="1" numFmtId="0" sqlType="0" hierarchy="0" level="0" databaseField="1">
      <sharedItems count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Mark Clifton" refreshedDate="43998.40882384259" createdVersion="6" refreshedVersion="6" minRefreshableVersion="3" recordCount="3" r:id="rId1">
  <cacheSource type="worksheet">
    <worksheetSource name="RisksByRiskLevelPreandPostTreatment10"/>
  </cacheSource>
  <cacheFields count="2">
    <cacheField name="Risk level" uniqueList="1" numFmtId="0" sqlType="0" hierarchy="0" level="0" databaseField="1">
      <sharedItems count="3">
        <s v=" Low"/>
        <s v=" Medium"/>
        <s v=" High"/>
      </sharedItems>
    </cacheField>
    <cacheField name="Post-treatment" uniqueList="1" numFmtId="0" sqlType="0" hierarchy="0" level="0" databaseField="1">
      <sharedItems count="0" containsInteger="1" containsNumber="1" containsSemiMixedTypes="0" containsString="0" minValue="0" maxValue="0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Mark Clifton" refreshedDate="43998.40882476852" createdVersion="6" refreshedVersion="6" minRefreshableVersion="3" recordCount="3" r:id="rId1">
  <cacheSource type="worksheet">
    <worksheetSource name="PreMitigationRisksByRiskLevel10"/>
  </cacheSource>
  <cacheFields count="3">
    <cacheField name="Risk level" uniqueList="1" numFmtId="0" sqlType="0" hierarchy="0" level="0" databaseField="1">
      <sharedItems count="3">
        <s v=" Low"/>
        <s v=" Medium"/>
        <s v=" High"/>
      </sharedItems>
    </cacheField>
    <cacheField name="Pre-treatment" uniqueList="1" numFmtId="0" sqlType="0" hierarchy="0" level="0" databaseField="1">
      <sharedItems count="0" containsInteger="1" containsNumber="1" containsSemiMixedTypes="0" containsString="0" minValue="0" maxValue="0"/>
    </cacheField>
    <cacheField name="Post-treatment" uniqueList="1" numFmtId="0" sqlType="0" hierarchy="0" level="0" databaseField="1">
      <sharedItems count="0" containsInteger="1" containsNumber="1" containsSemiMixedTypes="0" containsString="0" minValue="0" maxValue="0"/>
    </cacheField>
  </cacheFields>
</pivotCacheDefinition>
</file>

<file path=xl/pivotCache/pivotCacheRecords1.xml><?xml version="1.0" encoding="utf-8"?>
<pivotCacheRecords xmlns="http://schemas.openxmlformats.org/spreadsheetml/2006/main" count="3">
  <r>
    <x v="0"/>
    <n v="0"/>
  </r>
  <r>
    <x v="1"/>
    <n v="0"/>
  </r>
  <r>
    <x v="2"/>
    <n v="0"/>
  </r>
</pivotCacheRecords>
</file>

<file path=xl/pivotCache/pivotCacheRecords2.xml><?xml version="1.0" encoding="utf-8"?>
<pivotCacheRecords xmlns="http://schemas.openxmlformats.org/spreadsheetml/2006/main" count="3">
  <r>
    <x v="0"/>
    <n v="0"/>
  </r>
  <r>
    <x v="1"/>
    <n v="0"/>
  </r>
  <r>
    <x v="2"/>
    <n v="0"/>
  </r>
</pivotCacheRecords>
</file>

<file path=xl/pivotCache/pivotCacheRecords3.xml><?xml version="1.0" encoding="utf-8"?>
<pivotCacheRecords xmlns="http://schemas.openxmlformats.org/spreadsheetml/2006/main" count="3">
  <r>
    <x v="0"/>
    <n v="0"/>
  </r>
  <r>
    <x v="1"/>
    <n v="0"/>
  </r>
  <r>
    <x v="2"/>
    <n v="0"/>
  </r>
</pivotCacheRecords>
</file>

<file path=xl/pivotCache/pivotCacheRecords4.xml><?xml version="1.0" encoding="utf-8"?>
<pivotCacheRecords xmlns="http://schemas.openxmlformats.org/spreadsheetml/2006/main" count="3">
  <r>
    <x v="0"/>
    <n v="0"/>
  </r>
  <r>
    <x v="1"/>
    <n v="0"/>
  </r>
  <r>
    <x v="2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reTreatmentRisks" cacheId="5" dataOnRows="0" dataCaption="Values" showError="0" showMissing="1" updatedVersion="6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B12:C15" firstHeaderRow="1" firstDataRow="1" firstDataCol="1"/>
  <pivotFields count="2">
    <pivotField axis="axisRow" showDropDowns="1" compact="0" outline="0" subtotalTop="1" dragToRow="1" dragToCol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data" r="0" i="0">
      <x v="2"/>
    </i>
  </rowItems>
  <colItems count="1">
    <i t="data" r="0" i="0"/>
  </colItems>
  <dataFields count="1">
    <dataField name="Pre-treatment " fld="1" subtotal="sum" showDataAs="normal" baseField="0" baseItem="0"/>
  </dataFields>
  <formats count="6">
    <format action="formatting" dxfId="124">
      <pivotArea field="0" type="button" dataOnly="0" labelOnly="1" outline="0" axis="axisRow" fieldPosition="0"/>
    </format>
    <format action="formatting" dxfId="123">
      <pivotArea type="normal" dataOnly="0" labelOnly="1" outline="0" axis="axisValues" fieldPosition="0"/>
    </format>
    <format action="formatting" dxfId="122">
      <pivotArea field="0" type="button" dataOnly="0" labelOnly="1" outline="0" axis="axisRow" fieldPosition="0"/>
    </format>
    <format action="formatting" dxfId="121">
      <pivotArea type="normal" dataOnly="0" labelOnly="1" outline="0" axis="axisValues" fieldPosition="0"/>
    </format>
    <format action="formatting" dxfId="120">
      <pivotArea field="0" type="button" dataOnly="0" labelOnly="1" outline="0" axis="axisRow" fieldPosition="0"/>
    </format>
    <format action="formatting" dxfId="119">
      <pivotArea type="normal" dataOnly="0" labelOnly="1" outline="0" axis="axisValues" fieldPosition="0"/>
    </format>
  </formats>
  <chartFormats count="4">
    <chartFormat chart="7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7" format="9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7" format="10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7" format="1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reTreatmentRisksByOwner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B6:D7" firstHeaderRow="1" firstDataRow="1" firstDataCol="2"/>
  <pivotFields count="29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dataField="1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2">
    <field x="13"/>
    <field x="6"/>
  </rowFields>
  <rowItems count="1">
    <i t="data" r="0" i="0">
      <x v="0"/>
      <x v="0"/>
    </i>
  </rowItems>
  <colItems count="1">
    <i t="data" r="0" i="0"/>
  </colItems>
  <dataFields count="1">
    <dataField name="Risk Level " fld="13" subtotal="count" showDataAs="normal" baseField="0" baseItem="0"/>
  </dataFields>
  <formats count="6">
    <format action="formatting" dxfId="116">
      <pivotArea field="13" type="button" dataOnly="0" labelOnly="1" outline="0" axis="axisRow" fieldPosition="0"/>
    </format>
    <format action="formatting" dxfId="115">
      <pivotArea field="6" type="button" dataOnly="0" labelOnly="1" outline="0" axis="axisRow" fieldPosition="1"/>
    </format>
    <format action="formatting" dxfId="114">
      <pivotArea type="normal" dataOnly="0" labelOnly="1" outline="0" axis="axisValues" fieldPosition="0"/>
    </format>
    <format action="formatting" dxfId="113">
      <pivotArea field="13" type="button" dataOnly="0" labelOnly="1" outline="0" axis="axisRow" fieldPosition="0"/>
    </format>
    <format action="formatting" dxfId="112">
      <pivotArea field="6" type="button" dataOnly="0" labelOnly="1" outline="0" axis="axisRow" fieldPosition="1"/>
    </format>
    <format action="formatting" dxfId="111">
      <pivotArea type="normal" dataOnly="0" labelOnly="1" outline="0" axis="axisValues" fieldPosition="0"/>
    </format>
  </formats>
  <chartFormats count="2">
    <chartFormat chart="6" format="5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5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ostTreatmentRisks" cacheId="4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B12:C15" firstHeaderRow="1" firstDataRow="1" firstDataCol="1"/>
  <pivotFields count="2">
    <pivotField axis="axisRow" showDropDowns="1" compact="0" outline="0" subtotalTop="1" dragToRow="1" dragToCol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data" r="0" i="0">
      <x v="2"/>
    </i>
  </rowItems>
  <colItems count="1">
    <i t="data" r="0" i="0"/>
  </colItems>
  <dataFields count="1">
    <dataField name="Post-treatment " fld="1" subtotal="sum" showDataAs="normal" baseField="0" baseItem="0"/>
  </dataFields>
  <formats count="4">
    <format action="formatting" dxfId="110">
      <pivotArea field="0" type="button" dataOnly="0" labelOnly="1" outline="0" axis="axisRow" fieldPosition="0"/>
    </format>
    <format action="formatting" dxfId="109">
      <pivotArea type="normal" dataOnly="0" labelOnly="1" outline="0" axis="axisValues" fieldPosition="0"/>
    </format>
    <format action="formatting" dxfId="108">
      <pivotArea field="0" type="button" dataOnly="0" labelOnly="1" outline="0" axis="axisRow" fieldPosition="0"/>
    </format>
    <format action="formatting" dxfId="107">
      <pivotArea type="normal" dataOnly="0" labelOnly="1" outline="0" axis="axisValues" fieldPosition="0"/>
    </format>
  </formats>
  <chartFormats count="4">
    <chartFormat chart="3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9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10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3" format="1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RisksByRiskLevelPre&amp;PostTreatment" cacheId="7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B12:D15" firstHeaderRow="0" firstDataRow="1" firstDataCol="1"/>
  <pivotFields count="3">
    <pivotField axis="axisRow" showDropDowns="1" compact="0" outline="0" subtotalTop="1" dragToRow="1" dragToCol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data" r="0" i="0">
      <x v="2"/>
    </i>
  </rowItems>
  <colFields count="1">
    <field x="-2"/>
  </colFields>
  <colItems count="2">
    <i t="data" r="0" i="0">
      <x v="0"/>
    </i>
    <i t="data" r="0" i="1">
      <x v="1"/>
    </i>
  </colItems>
  <dataFields count="2">
    <dataField name="Pre-treatment " fld="1" subtotal="sum" showDataAs="normal" baseField="0" baseItem="0"/>
    <dataField name="Post-treatment " fld="2" subtotal="sum" showDataAs="normal" baseField="0" baseItem="0"/>
  </dataFields>
  <formats count="4">
    <format action="formatting" dxfId="104">
      <pivotArea field="0" type="button" dataOnly="0" labelOnly="1" outline="0" axis="axisRow" fieldPosition="0"/>
    </format>
    <format action="formatting" dxfId="103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102">
      <pivotArea field="0" type="button" dataOnly="0" labelOnly="1" outline="0" axis="axisRow" fieldPosition="0"/>
    </format>
    <format action="formatting" dxfId="101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chartFormats count="2">
    <chartFormat chart="2" format="5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RisksByTreatmentOption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B6:C7" firstHeaderRow="1" firstDataRow="1" firstDataCol="1"/>
  <pivotFields count="29"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14"/>
  </rowFields>
  <rowItems count="1">
    <i t="data" r="0" i="0">
      <x v="0"/>
    </i>
  </rowItems>
  <colItems count="1">
    <i t="data" r="0" i="0"/>
  </colItems>
  <dataFields count="1">
    <dataField name="Count of Asset Group" fld="1" subtotal="count" showDataAs="normal" baseField="0" baseItem="0"/>
  </dataFields>
  <formats count="4">
    <format action="formatting" dxfId="97">
      <pivotArea field="14" type="button" dataOnly="0" labelOnly="1" outline="0" axis="axisRow" fieldPosition="0"/>
    </format>
    <format action="formatting" dxfId="96">
      <pivotArea type="normal" dataOnly="0" labelOnly="1" outline="0" axis="axisValues" fieldPosition="0"/>
    </format>
    <format action="formatting" dxfId="95">
      <pivotArea field="14" type="button" dataOnly="0" labelOnly="1" outline="0" axis="axisRow" fieldPosition="0"/>
    </format>
    <format action="formatting" dxfId="94">
      <pivotArea type="normal" dataOnly="0" labelOnly="1" outline="0" axis="axisValues" fieldPosition="0"/>
    </format>
  </formats>
  <chartFormats count="2">
    <chartFormat chart="2" format="1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2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reatmentCosts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B6:C7" firstHeaderRow="1" firstDataRow="1" firstDataCol="1"/>
  <pivotFields count="29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13"/>
  </rowFields>
  <rowItems count="1">
    <i t="data" r="0" i="0">
      <x v="0"/>
    </i>
  </rowItems>
  <colItems count="1">
    <i t="data" r="0" i="0"/>
  </colItems>
  <dataFields count="1">
    <dataField name="Sum of Treatment Cost" fld="17" subtotal="sum" showDataAs="normal" baseField="11" baseItem="0" numFmtId="3"/>
  </dataFields>
  <formats count="5">
    <format action="formatting" dxfId="93">
      <pivotArea field="13" type="button" dataOnly="0" labelOnly="1" outline="0" axis="axisRow" fieldPosition="0"/>
    </format>
    <format action="formatting" dxfId="92">
      <pivotArea type="normal" dataOnly="0" labelOnly="1" outline="0" axis="axisValues" fieldPosition="0"/>
    </format>
    <format action="formatting" dxfId="91">
      <pivotArea field="13" type="button" dataOnly="0" labelOnly="1" outline="0" axis="axisRow" fieldPosition="0"/>
    </format>
    <format action="formatting" dxfId="90">
      <pivotArea type="normal" dataOnly="0" labelOnly="1" outline="0" axis="axisValues" fieldPosition="0"/>
    </format>
    <format action="formatting" dxfId="89">
      <pivotArea type="normal" dataOnly="1" outline="0" fieldPosition="0">
        <references count="1">
          <reference field="4294967294">
            <x v="0"/>
          </reference>
        </references>
      </pivotArea>
    </format>
  </formats>
  <chartFormats count="1"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TreatmentActionOwner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B6:C8" firstHeaderRow="1" firstDataRow="2" firstDataCol="1"/>
  <pivotFields count="29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Col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dataField="1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18"/>
  </rowFields>
  <rowItems count="1">
    <i t="data" r="0" i="0">
      <x v="0"/>
    </i>
  </rowItems>
  <colFields count="1">
    <field x="13"/>
  </colFields>
  <colItems count="1">
    <i t="data" r="0" i="0">
      <x v="0"/>
    </i>
  </colItems>
  <dataFields count="1">
    <dataField name="Count of Treatment Action Owner" fld="18" subtotal="count" showDataAs="normal" baseField="0" baseItem="0"/>
  </dataFields>
  <formats count="10">
    <format action="formatting" dxfId="88">
      <pivotArea type="origin" dataOnly="0" labelOnly="1" outline="0" fieldPosition="0"/>
    </format>
    <format action="formatting" dxfId="87">
      <pivotArea field="13" type="button" dataOnly="0" labelOnly="1" outline="0" axis="axisCol" fieldPosition="0"/>
    </format>
    <format action="formatting" dxfId="86">
      <pivotArea type="topRight" dataOnly="0" labelOnly="1" outline="0" fieldPosition="0"/>
    </format>
    <format action="formatting" dxfId="85">
      <pivotArea field="18" type="button" dataOnly="0" labelOnly="1" outline="0" axis="axisRow" fieldPosition="0"/>
    </format>
    <format action="formatting" dxfId="84">
      <pivotArea type="normal" dataOnly="0" labelOnly="1" outline="0" fieldPosition="0">
        <references count="1">
          <reference field="13"/>
        </references>
      </pivotArea>
    </format>
    <format action="formatting" dxfId="83">
      <pivotArea type="origin" dataOnly="0" labelOnly="1" outline="0" fieldPosition="0"/>
    </format>
    <format action="formatting" dxfId="82">
      <pivotArea field="13" type="button" dataOnly="0" labelOnly="1" outline="0" axis="axisCol" fieldPosition="0"/>
    </format>
    <format action="formatting" dxfId="81">
      <pivotArea type="topRight" dataOnly="0" labelOnly="1" outline="0" fieldPosition="0"/>
    </format>
    <format action="formatting" dxfId="80">
      <pivotArea field="18" type="button" dataOnly="0" labelOnly="1" outline="0" axis="axisRow" fieldPosition="0"/>
    </format>
    <format action="formatting" dxfId="79">
      <pivotArea type="normal" dataOnly="0" labelOnly="1" outline="0" fieldPosition="0">
        <references count="1">
          <reference field="13"/>
        </references>
      </pivotArea>
    </format>
  </formats>
  <chartFormats count="1">
    <chartFormat chart="5" format="1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19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R15:S17" firstHeaderRow="1" firstDataRow="1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3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Sum of Treatment Cost" fld="17" subtotal="sum" showDataAs="normal" baseField="11" baseItem="0"/>
  </dataFields>
  <formats count="11">
    <format action="formatting" dxfId="59">
      <pivotArea field="13" type="button" dataOnly="0" labelOnly="1" outline="0" axis="axisRow" fieldPosition="0"/>
    </format>
    <format action="formatting" dxfId="58">
      <pivotArea type="normal" dataOnly="0" labelOnly="1" outline="0" axis="axisValues" fieldPosition="0"/>
    </format>
    <format action="formatting" dxfId="57">
      <pivotArea field="13" type="button" dataOnly="0" labelOnly="1" outline="0" axis="axisRow" fieldPosition="0"/>
    </format>
    <format action="formatting" dxfId="56">
      <pivotArea type="normal" dataOnly="0" labelOnly="1" outline="0" axis="axisValues" fieldPosition="0"/>
    </format>
    <format action="formatting" dxfId="55">
      <pivotArea type="normal" dataOnly="0" grandRow="1" outline="1" fieldPosition="0"/>
    </format>
    <format action="formatting" dxfId="54">
      <pivotArea type="normal" dataOnly="0" grandRow="1" outline="1" fieldPosition="0"/>
    </format>
    <format action="formatting" dxfId="53">
      <pivotArea type="normal" dataOnly="1" grandRow="1" outline="0" collapsedLevelsAreSubtotals="1" fieldPosition="0"/>
    </format>
    <format action="formatting" dxfId="52">
      <pivotArea type="normal" dataOnly="0" labelOnly="1" grandRow="1" outline="0" fieldPosition="0"/>
    </format>
    <format action="formatting" dxfId="51">
      <pivotArea field="13" type="button" dataOnly="0" labelOnly="1" outline="0" axis="axisRow" fieldPosition="0"/>
    </format>
    <format action="formatting" dxfId="50">
      <pivotArea type="normal" dataOnly="0" labelOnly="1" outline="0" axis="axisValues" fieldPosition="0"/>
    </format>
    <format action="formatting" dxfId="49">
      <pivotArea type="normal" dataOnly="0" grandRow="1" outline="1" fieldPosition="0"/>
    </format>
  </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Table16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B8:D11" firstHeaderRow="1" firstDataRow="2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2">
    <i t="data" r="0" i="0">
      <x v="0"/>
    </i>
    <i t="grand" r="0" i="0">
      <x v="0"/>
    </i>
  </rowItems>
  <colFields count="1">
    <field x="13"/>
  </colFields>
  <colItems count="2">
    <i t="data" r="0" i="0">
      <x v="0"/>
    </i>
    <i t="grand" r="0" i="0">
      <x v="0"/>
    </i>
  </colItems>
  <dataFields count="1">
    <dataField name="Count of Risk Level" fld="13" subtotal="count" showDataAs="normal" baseField="0" baseItem="0"/>
  </dataFields>
  <formats count="23">
    <format action="formatting" dxfId="48">
      <pivotArea type="origin" dataOnly="0" labelOnly="1" outline="0" fieldPosition="0"/>
    </format>
    <format action="formatting" dxfId="47">
      <pivotArea field="13" type="button" dataOnly="0" labelOnly="1" outline="0" axis="axisCol" fieldPosition="0"/>
    </format>
    <format action="formatting" dxfId="46">
      <pivotArea type="topRight" dataOnly="0" labelOnly="1" outline="0" fieldPosition="0"/>
    </format>
    <format action="formatting" dxfId="45">
      <pivotArea field="5" type="button" dataOnly="0" labelOnly="1" outline="0" axis="axisRow" fieldPosition="0"/>
    </format>
    <format action="formatting" dxfId="44">
      <pivotArea type="normal" dataOnly="0" labelOnly="1" outline="1" fieldPosition="0">
        <references count="1">
          <reference field="13"/>
        </references>
      </pivotArea>
    </format>
    <format action="formatting" dxfId="43">
      <pivotArea type="normal" dataOnly="0" labelOnly="1" grandCol="1" outline="0" fieldPosition="0"/>
    </format>
    <format action="formatting" dxfId="42">
      <pivotArea type="origin" dataOnly="0" labelOnly="1" outline="0" fieldPosition="0"/>
    </format>
    <format action="formatting" dxfId="41">
      <pivotArea field="13" type="button" dataOnly="0" labelOnly="1" outline="0" axis="axisCol" fieldPosition="0"/>
    </format>
    <format action="formatting" dxfId="40">
      <pivotArea type="topRight" dataOnly="0" labelOnly="1" outline="0" fieldPosition="0"/>
    </format>
    <format action="formatting" dxfId="39">
      <pivotArea field="5" type="button" dataOnly="0" labelOnly="1" outline="0" axis="axisRow" fieldPosition="0"/>
    </format>
    <format action="formatting" dxfId="38">
      <pivotArea type="normal" dataOnly="0" labelOnly="1" outline="1" fieldPosition="0">
        <references count="1">
          <reference field="13"/>
        </references>
      </pivotArea>
    </format>
    <format action="formatting" dxfId="37">
      <pivotArea type="normal" dataOnly="0" labelOnly="1" grandCol="1" outline="0" fieldPosition="0"/>
    </format>
    <format action="formatting" dxfId="36">
      <pivotArea type="normal" dataOnly="1" outline="0" collapsedLevelsAreSubtotals="1" fieldPosition="0"/>
    </format>
    <format action="formatting" dxfId="35">
      <pivotArea type="normal" dataOnly="0" grandRow="1" outline="1" fieldPosition="0"/>
    </format>
    <format action="formatting" dxfId="34">
      <pivotArea type="normal" dataOnly="0" grandRow="1" outline="1" fieldPosition="0"/>
    </format>
    <format action="formatting" dxfId="33">
      <pivotArea type="origin" dataOnly="0" labelOnly="1" outline="0" fieldPosition="0"/>
    </format>
    <format action="formatting" dxfId="32">
      <pivotArea field="13" type="button" dataOnly="0" labelOnly="1" outline="0" axis="axisCol" fieldPosition="0"/>
    </format>
    <format action="formatting" dxfId="31">
      <pivotArea type="topRight" dataOnly="0" labelOnly="1" outline="0" fieldPosition="0"/>
    </format>
    <format action="formatting" dxfId="30">
      <pivotArea field="5" type="button" dataOnly="0" labelOnly="1" outline="0" axis="axisRow" fieldPosition="0"/>
    </format>
    <format action="formatting" dxfId="29">
      <pivotArea type="normal" dataOnly="0" labelOnly="1" outline="1" fieldPosition="0">
        <references count="1">
          <reference field="13"/>
        </references>
      </pivotArea>
    </format>
    <format action="formatting" dxfId="28">
      <pivotArea type="normal" dataOnly="0" labelOnly="1" grandCol="1" outline="0" fieldPosition="0"/>
    </format>
    <format action="formatting" dxfId="27">
      <pivotArea type="normal" dataOnly="1" grandRow="1" outline="0" collapsedLevelsAreSubtotals="1" fieldPosition="0"/>
    </format>
    <format action="formatting" dxfId="26">
      <pivotArea type="normal" dataOnly="0" labelOnly="1" grandRow="1" outline="0" fieldPosition="0"/>
    </format>
  </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PivotTable17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I8:K11" firstHeaderRow="1" firstDataRow="2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2">
    <i t="data" r="0" i="0">
      <x v="0"/>
    </i>
    <i t="grand" r="0" i="0">
      <x v="0"/>
    </i>
  </rowItems>
  <colFields count="1">
    <field x="13"/>
  </colFields>
  <colItems count="2">
    <i t="data" r="0" i="0">
      <x v="0"/>
    </i>
    <i t="grand" r="0" i="0">
      <x v="0"/>
    </i>
  </colItems>
  <dataFields count="1">
    <dataField name="Count of Risk Level" fld="13" subtotal="count" showDataAs="normal" baseField="0" baseItem="0"/>
  </dataFields>
  <formats count="24">
    <format action="formatting" dxfId="25">
      <pivotArea type="origin" dataOnly="0" labelOnly="1" outline="0" fieldPosition="0"/>
    </format>
    <format action="formatting" dxfId="24">
      <pivotArea field="13" type="button" dataOnly="0" labelOnly="1" outline="0" axis="axisCol" fieldPosition="0"/>
    </format>
    <format action="formatting" dxfId="23">
      <pivotArea type="topRight" dataOnly="0" labelOnly="1" outline="0" fieldPosition="0"/>
    </format>
    <format action="formatting" dxfId="22">
      <pivotArea field="6" type="button" dataOnly="0" labelOnly="1" outline="0" axis="axisRow" fieldPosition="0"/>
    </format>
    <format action="formatting" dxfId="21">
      <pivotArea type="normal" dataOnly="0" labelOnly="1" outline="1" fieldPosition="0">
        <references count="1">
          <reference field="13"/>
        </references>
      </pivotArea>
    </format>
    <format action="formatting" dxfId="20">
      <pivotArea type="normal" dataOnly="0" labelOnly="1" grandCol="1" outline="0" fieldPosition="0"/>
    </format>
    <format action="formatting" dxfId="19">
      <pivotArea type="normal" dataOnly="1" grandRow="1" outline="0" collapsedLevelsAreSubtotals="1" fieldPosition="0"/>
    </format>
    <format action="formatting" dxfId="18">
      <pivotArea type="normal" dataOnly="0" labelOnly="1" grandRow="1" outline="0" fieldPosition="0"/>
    </format>
    <format action="formatting" dxfId="17">
      <pivotArea type="origin" dataOnly="0" labelOnly="1" outline="0" fieldPosition="0"/>
    </format>
    <format action="formatting" dxfId="16">
      <pivotArea field="13" type="button" dataOnly="0" labelOnly="1" outline="0" axis="axisCol" fieldPosition="0"/>
    </format>
    <format action="formatting" dxfId="15">
      <pivotArea type="topRight" dataOnly="0" labelOnly="1" outline="0" fieldPosition="0"/>
    </format>
    <format action="formatting" dxfId="14">
      <pivotArea field="6" type="button" dataOnly="0" labelOnly="1" outline="0" axis="axisRow" fieldPosition="0"/>
    </format>
    <format action="formatting" dxfId="13">
      <pivotArea type="normal" dataOnly="0" labelOnly="1" outline="1" fieldPosition="0">
        <references count="1">
          <reference field="13"/>
        </references>
      </pivotArea>
    </format>
    <format action="formatting" dxfId="12">
      <pivotArea type="normal" dataOnly="0" labelOnly="1" grandCol="1" outline="0" fieldPosition="0"/>
    </format>
    <format action="formatting" dxfId="11">
      <pivotArea type="normal" dataOnly="1" grandRow="1" outline="0" collapsedLevelsAreSubtotals="1" fieldPosition="0"/>
    </format>
    <format action="formatting" dxfId="10">
      <pivotArea type="normal" dataOnly="0" labelOnly="1" grandRow="1" outline="0" fieldPosition="0"/>
    </format>
    <format action="formatting" dxfId="9">
      <pivotArea type="origin" dataOnly="0" labelOnly="1" outline="0" fieldPosition="0"/>
    </format>
    <format action="formatting" dxfId="8">
      <pivotArea field="13" type="button" dataOnly="0" labelOnly="1" outline="0" axis="axisCol" fieldPosition="0"/>
    </format>
    <format action="formatting" dxfId="7">
      <pivotArea type="topRight" dataOnly="0" labelOnly="1" outline="0" fieldPosition="0"/>
    </format>
    <format action="formatting" dxfId="6">
      <pivotArea field="6" type="button" dataOnly="0" labelOnly="1" outline="0" axis="axisRow" fieldPosition="0"/>
    </format>
    <format action="formatting" dxfId="5">
      <pivotArea type="normal" dataOnly="0" labelOnly="1" outline="1" fieldPosition="0">
        <references count="1">
          <reference field="13"/>
        </references>
      </pivotArea>
    </format>
    <format action="formatting" dxfId="4">
      <pivotArea type="normal" dataOnly="0" labelOnly="1" grandCol="1" outline="0" fieldPosition="0"/>
    </format>
    <format action="formatting" dxfId="3">
      <pivotArea type="normal" dataOnly="1" grandRow="1" outline="0" collapsedLevelsAreSubtotals="1" fieldPosition="0"/>
    </format>
    <format action="formatting" dxfId="2">
      <pivotArea type="normal" dataOnly="0" labelOnly="1" grandRow="1" outline="0" fieldPosition="0"/>
    </format>
  </format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:r="http://schemas.openxmlformats.org/officeDocument/2006/relationships" xmlns="http://schemas.openxmlformats.org/spreadsheetml/2006/main" name="PivotTable18" cacheId="6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O8:O10" firstHeaderRow="1" firstDataRow="1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4"/>
  </rowFields>
  <rowItems count="2">
    <i t="data" r="0" i="0">
      <x v="0"/>
    </i>
    <i t="grand" r="0" i="0">
      <x v="0"/>
    </i>
  </rowItems>
  <colItems count="1">
    <i t="data" r="0" i="0"/>
  </colItems>
  <formats count="11">
    <format action="formatting" dxfId="70">
      <pivotArea type="normal" dataOnly="0" labelOnly="1" outline="0" axis="axisValues" fieldPosition="0"/>
    </format>
    <format action="formatting" dxfId="69">
      <pivotArea field="14" type="button" dataOnly="0" labelOnly="1" outline="0" axis="axisRow" fieldPosition="0"/>
    </format>
    <format action="formatting" dxfId="68">
      <pivotArea type="normal" dataOnly="0" labelOnly="1" outline="0" axis="axisValues" fieldPosition="0"/>
    </format>
    <format action="formatting" dxfId="67">
      <pivotArea field="14" type="button" dataOnly="0" labelOnly="1" outline="0" axis="axisRow" fieldPosition="0"/>
    </format>
    <format action="formatting" dxfId="66">
      <pivotArea type="normal" dataOnly="0" labelOnly="1" outline="0" axis="axisValues" fieldPosition="0"/>
    </format>
    <format action="formatting" dxfId="65">
      <pivotArea type="normal" dataOnly="1" grandRow="1" outline="0" collapsedLevelsAreSubtotals="1" fieldPosition="0"/>
    </format>
    <format action="formatting" dxfId="64">
      <pivotArea type="normal" dataOnly="0" labelOnly="1" grandRow="1" outline="0" fieldPosition="0"/>
    </format>
    <format action="formatting" dxfId="63">
      <pivotArea type="normal" dataOnly="1" grandRow="1" outline="0" collapsedLevelsAreSubtotals="1" fieldPosition="0"/>
    </format>
    <format action="formatting" dxfId="62">
      <pivotArea type="normal" dataOnly="0" labelOnly="1" grandRow="1" outline="0" fieldPosition="0"/>
    </format>
    <format action="formatting" dxfId="61">
      <pivotArea field="14" type="button" dataOnly="0" labelOnly="1" outline="0" axis="axisRow" fieldPosition="0"/>
    </format>
    <format action="formatting" dxfId="60">
      <pivotArea type="normal" dataOnly="0" labelOnly="1" grandRow="1"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iskAssessment" displayName="RiskAssessment" ref="B13:AD33" headerRowCount="1" totalsRowShown="0" headerRowDxfId="155" dataDxfId="154">
  <autoFilter ref="B13:AD3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</autoFilter>
  <tableColumns count="29">
    <tableColumn id="1" name="Ref" dataDxfId="153"/>
    <tableColumn id="2" name="Asset Group" dataDxfId="152"/>
    <tableColumn id="14" name="Asset" dataDxfId="151"/>
    <tableColumn id="18" name="Threat" dataDxfId="150"/>
    <tableColumn id="19" name="Vulnerability" dataDxfId="149"/>
    <tableColumn id="5" name="Risk Type" dataDxfId="148"/>
    <tableColumn id="6" name="Risk Owner" dataDxfId="147"/>
    <tableColumn id="7" name="Existing Controls" dataDxfId="146"/>
    <tableColumn id="8" name="Likelihood" dataDxfId="145"/>
    <tableColumn id="9" name="Likelihood Rationale" dataDxfId="144"/>
    <tableColumn id="10" name="Impact" dataDxfId="143"/>
    <tableColumn id="11" name="Impact Rationale" dataDxfId="142"/>
    <tableColumn id="12" name="Risk Score" dataDxfId="141">
      <calculatedColumnFormula>IFERROR(RiskAssessment[[#This Row],[Likelihood]]*RiskAssessment[[#This Row],[Impact]],"Calculated")</calculatedColumnFormula>
    </tableColumn>
    <tableColumn id="26" name="Risk Level" dataDxfId="140">
      <calculatedColumnFormula>IF(N14="Calculated", "Calculated", IF(N14&gt;11, " HIGH",IF(N14&gt;4," MEDIUM"," LOW")))</calculatedColumnFormula>
    </tableColumn>
    <tableColumn id="25" name="Treatment Option Chosen" dataDxfId="139"/>
    <tableColumn id="24" name="Proposed Treatment Action" dataDxfId="138"/>
    <tableColumn id="13" name="Annex A/Control Reference" dataDxfId="137"/>
    <tableColumn id="3" name="Treatment Cost" dataDxfId="136"/>
    <tableColumn id="4" name="Treatment Action Owner" dataDxfId="135"/>
    <tableColumn id="15" name="Treatment Action Timescale" dataDxfId="134"/>
    <tableColumn id="17" name="Treatment Action Progress" dataDxfId="133"/>
    <tableColumn id="16" name="Treatment Action Status" dataDxfId="132"/>
    <tableColumn id="23" name="Post-Treatment Likelihood" dataDxfId="131"/>
    <tableColumn id="22" name="Post-Treatment Likelihood Rationale" dataDxfId="130"/>
    <tableColumn id="20" name="Post- Treatment Impact" dataDxfId="129"/>
    <tableColumn id="34" name="Post-Treatment Impact Rationale" dataDxfId="128"/>
    <tableColumn id="33" name="Post-Treatment Risk Score" dataDxfId="127">
      <calculatedColumnFormula>IFERROR(RiskAssessment[[#This Row],[Post-Treatment Likelihood]]*RiskAssessment[[#This Row],[Post- Treatment Impact]],"Calculated")</calculatedColumnFormula>
    </tableColumn>
    <tableColumn id="32" name="Post-Treatment Risk Level" dataDxfId="126">
      <calculatedColumnFormula>IF(AB14="Calculated", "Calculated", IF(AB14&gt;11, " HIGH",IF(AB14&gt;4," MEDIUM"," LOW")))</calculatedColumnFormula>
    </tableColumn>
    <tableColumn id="31" name="Comments" dataDxfId="125"/>
  </tableColumns>
  <tableStyleInfo name="CertiKit table style 2" showFirstColumn="0" showLastColumn="0" showRowStripes="1" showColumnStripes="0"/>
</table>
</file>

<file path=xl/tables/table2.xml><?xml version="1.0" encoding="utf-8"?>
<table xmlns="http://schemas.openxmlformats.org/spreadsheetml/2006/main" id="2" name="PreTreatmentRisksByRiskLevel" displayName="PreTreatmentRisksByRiskLevel" ref="B6:C9" headerRowCount="1" totalsRowShown="0" headerRowDxfId="118">
  <autoFilter ref="B6:C9"/>
  <tableColumns count="2">
    <tableColumn id="1" name="Risk level"/>
    <tableColumn id="2" name="Pre-treatment" dataDxfId="117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RisksByRiskLevelPreandPostTreatment10" displayName="RisksByRiskLevelPreandPostTreatment10" ref="B6:C9" headerRowCount="1" totalsRowShown="0" headerRowDxfId="106">
  <autoFilter ref="B6:C9"/>
  <tableColumns count="2">
    <tableColumn id="1" name="Risk level"/>
    <tableColumn id="3" name="Post-treatment" dataDxfId="105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PreMitigationRisksByRiskLevel10" displayName="PreMitigationRisksByRiskLevel10" ref="B6:D9" headerRowCount="1" totalsRowShown="0" headerRowDxfId="100">
  <autoFilter ref="B6:D9"/>
  <tableColumns count="3">
    <tableColumn id="1" name="Risk level"/>
    <tableColumn id="2" name="Pre-treatment" dataDxfId="99"/>
    <tableColumn id="3" name="Post-treatment" dataDxfId="98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OnetoFive" displayName="OnetoFive" ref="B6:B12" headerRowCount="1" totalsRowShown="0" headerRowDxfId="78" dataDxfId="77">
  <autoFilter ref="B6:B12">
    <filterColumn colId="0" hiddenButton="1" showButton="1"/>
  </autoFilter>
  <tableColumns count="1">
    <tableColumn id="1" name="ONE TO FIVE" dataDxfId="76"/>
  </tableColumns>
  <tableStyleInfo name="CertiKit table style" showFirstColumn="0" showLastColumn="0" showRowStripes="1" showColumnStripes="0"/>
</table>
</file>

<file path=xl/tables/table6.xml><?xml version="1.0" encoding="utf-8"?>
<table xmlns="http://schemas.openxmlformats.org/spreadsheetml/2006/main" id="6" name="Options" displayName="Options" ref="E6:E11" headerRowCount="1" totalsRowShown="0" headerRowDxfId="75">
  <autoFilter ref="E6:E11">
    <filterColumn colId="0" hiddenButton="1" showButton="1"/>
  </autoFilter>
  <tableColumns count="1">
    <tableColumn id="1" name="OPTIONS"/>
  </tableColumns>
  <tableStyleInfo name="CertiKit table style" showFirstColumn="0" showLastColumn="0" showRowStripes="1" showColumnStripes="0"/>
</table>
</file>

<file path=xl/tables/table7.xml><?xml version="1.0" encoding="utf-8"?>
<table xmlns="http://schemas.openxmlformats.org/spreadsheetml/2006/main" id="7" name="Table5" displayName="Table5" ref="B15:B23" headerRowCount="1" totalsRowShown="0" headerRowDxfId="74" dataDxfId="73">
  <autoFilter ref="B15:B23">
    <filterColumn colId="0" hiddenButton="1" showButton="1"/>
  </autoFilter>
  <tableColumns count="1">
    <tableColumn id="1" name="RISK TYPE" dataDxfId="72"/>
  </tableColumns>
  <tableStyleInfo name="CertiKit table style" showFirstColumn="0" showLastColumn="0" showRowStripes="1" showColumnStripes="0"/>
</table>
</file>

<file path=xl/tables/table8.xml><?xml version="1.0" encoding="utf-8"?>
<table xmlns="http://schemas.openxmlformats.org/spreadsheetml/2006/main" id="8" name="Table4" displayName="Table4" ref="E15:E20" headerRowCount="1" totalsRowShown="0" headerRowDxfId="71">
  <autoFilter ref="E15:E20">
    <filterColumn colId="0" hiddenButton="1" showButton="1"/>
  </autoFilter>
  <tableColumns count="1">
    <tableColumn id="1" name="TREATMENT ACTION STATUS"/>
  </tableColumns>
  <tableStyleInfo name="CertiKit table style" showFirstColumn="0" showLastColumn="0" showRowStripes="1" showColumnStripes="0"/>
</table>
</file>

<file path=xl/tables/table9.xml><?xml version="1.0" encoding="utf-8"?>
<table xmlns="http://schemas.openxmlformats.org/spreadsheetml/2006/main" id="9" name="Table1" displayName="Table1" ref="R8:T11" headerRowCount="1" totalsRowShown="0">
  <autoFilter ref="R8:T11">
    <filterColumn colId="0" hiddenButton="1" showButton="1"/>
    <filterColumn colId="1" hiddenButton="1" showButton="1"/>
    <filterColumn colId="2" hiddenButton="1" showButton="1"/>
  </autoFilter>
  <tableColumns count="3">
    <tableColumn id="1" name="Risk level"/>
    <tableColumn id="2" name="Pre-Treatment" dataDxfId="1">
      <calculatedColumnFormula>COUNTIF(RiskAssessment[Risk Level],Table1[[#This Row],[Risk level]])</calculatedColumnFormula>
    </tableColumn>
    <tableColumn id="3" name="Post-Treatment" dataDxfId="0">
      <calculatedColumnFormula>COUNTIF(RiskAssessment[Post-Treatment Risk Level],Table1[[#This Row],[Risk level]])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Excel Colours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pivotTable" Target="/xl/pivotTables/pivotTable1.xml" Id="rId2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pivotTable" Target="/xl/pivotTables/pivotTable3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pivotTable" Target="/xl/pivotTables/pivotTable4.xml" Id="rId2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pivotTable" Target="/xl/pivotTables/pivotTable8.xml" Id="rId2"/><Relationship Type="http://schemas.openxmlformats.org/officeDocument/2006/relationships/pivotTable" Target="/xl/pivotTables/pivotTable9.xml" Id="rId3"/><Relationship Type="http://schemas.openxmlformats.org/officeDocument/2006/relationships/pivotTable" Target="/xl/pivotTables/pivotTable10.xml" Id="rId4"/><Relationship Type="http://schemas.openxmlformats.org/officeDocument/2006/relationships/pivotTable" Target="/xl/pivotTables/pivotTable11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tabSelected="1" zoomScaleNormal="100" workbookViewId="0">
      <selection activeCell="A1" sqref="A1"/>
    </sheetView>
  </sheetViews>
  <sheetFormatPr baseColWidth="8" defaultColWidth="9.140625" defaultRowHeight="15"/>
  <cols>
    <col width="2.85546875" customWidth="1" style="3" min="1" max="1"/>
    <col width="93.140625" customWidth="1" style="3" min="2" max="2"/>
    <col width="9.140625" customWidth="1" style="3" min="3" max="16384"/>
  </cols>
  <sheetData>
    <row r="1"/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 ht="53.25" customHeight="1">
      <c r="B8" s="2" t="n"/>
    </row>
    <row r="9"/>
    <row r="10" ht="111" customHeight="1">
      <c r="B10" s="2" t="n"/>
    </row>
    <row r="11"/>
    <row r="12" ht="51" customHeight="1">
      <c r="B12" s="2" t="n"/>
    </row>
    <row r="13"/>
    <row r="14" ht="81" customHeight="1">
      <c r="A14" s="85" t="n"/>
      <c r="B14" s="2" t="n"/>
    </row>
    <row r="15">
      <c r="A15" s="85" t="n"/>
      <c r="B15" s="89" t="n"/>
    </row>
    <row r="16" ht="201" customHeight="1">
      <c r="B16" s="2" t="n"/>
    </row>
    <row r="17"/>
    <row r="18" ht="51" customHeight="1">
      <c r="B18" s="2" t="n"/>
    </row>
    <row r="19"/>
    <row r="20" ht="36" customHeight="1">
      <c r="B20" s="2" t="n"/>
    </row>
    <row r="21"/>
    <row r="22" ht="66" customHeight="1">
      <c r="B22" s="2" t="n"/>
    </row>
    <row r="23"/>
    <row r="24" ht="96" customHeight="1">
      <c r="B24" s="2" t="n"/>
    </row>
    <row r="25"/>
    <row r="26" ht="246" customHeight="1">
      <c r="B26" s="2" t="n"/>
    </row>
    <row r="27" ht="15.75" customHeight="1" thickBot="1">
      <c r="B27" s="35" t="n"/>
    </row>
    <row r="28" ht="15.75" customHeight="1" thickTop="1"/>
  </sheetData>
  <pageMargins left="0.7086614173228347" right="0.7086614173228347" top="0.7480314960629921" bottom="0.7480314960629921" header="0.3149606299212598" footer="0.3149606299212598"/>
  <pageSetup orientation="portrait" paperSize="9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ColWidth="9.140625" defaultRowHeight="15"/>
  <cols>
    <col width="2.85546875" customWidth="1" style="3" min="1" max="1"/>
    <col width="25" customWidth="1" style="3" min="2" max="2"/>
    <col width="83.7109375" customWidth="1" style="3" min="3" max="3"/>
    <col width="9.140625" customWidth="1" style="3" min="4" max="16384"/>
  </cols>
  <sheetData>
    <row r="1"/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/>
    <row r="8" ht="21" customHeight="1">
      <c r="B8" s="10" t="inlineStr">
        <is>
          <t>Assessment Details</t>
        </is>
      </c>
    </row>
    <row r="9"/>
    <row r="10" ht="30" customHeight="1">
      <c r="A10" s="90" t="n"/>
      <c r="B10" s="28" t="inlineStr">
        <is>
          <t xml:space="preserve">Security Classification
</t>
        </is>
      </c>
      <c r="C10" s="75" t="inlineStr">
        <is>
          <t>Confidential - Digital Horizons Bank ISMS</t>
        </is>
      </c>
    </row>
    <row r="11" ht="30" customHeight="1">
      <c r="A11" s="90" t="n"/>
      <c r="B11" s="91" t="inlineStr">
        <is>
          <t xml:space="preserve">Risk Assessment Title
</t>
        </is>
      </c>
      <c r="C11" s="92" t="inlineStr">
        <is>
          <t>Digital Horizons Bank Asset-Based Information Security Risk Assessment and Treatment</t>
        </is>
      </c>
    </row>
    <row r="12" ht="30" customHeight="1">
      <c r="A12" s="90" t="n"/>
      <c r="B12" s="28" t="inlineStr">
        <is>
          <t xml:space="preserve">Risk Assessment Scope
</t>
        </is>
      </c>
      <c r="C12" s="75" t="inlineStr">
        <is>
          <t>In-scope Digital Horizons Bank locations, digital banking services, information assets, technology, people and third parties</t>
        </is>
      </c>
    </row>
    <row r="13" ht="30" customHeight="1">
      <c r="A13" s="90" t="n"/>
      <c r="B13" s="91" t="inlineStr">
        <is>
          <t>Context of Risk Assessment</t>
        </is>
      </c>
      <c r="C13" s="92" t="inlineStr">
        <is>
          <t>Saudi financial-sector environment; 500,000+ customers; 2,500 employees; 25 branches; primary Riyadh DC and Jeddah DR; documented incidents and current control gaps</t>
        </is>
      </c>
    </row>
    <row r="14" ht="30" customHeight="1">
      <c r="A14" s="90" t="n"/>
      <c r="B14" s="93" t="inlineStr">
        <is>
          <t>Risk Acceptance Criteria</t>
        </is>
      </c>
      <c r="C14" s="94" t="inlineStr">
        <is>
          <t>Risks scoring 1-4 Low may be accepted by the risk owner; 5-11 Medium requires treatment or documented acceptance; 12-25 High requires treatment and executive oversight. Any regulatory or PII breach risk is not accepted without explicit executive and compliance approval.</t>
        </is>
      </c>
    </row>
    <row r="15" ht="30" customHeight="1">
      <c r="A15" s="90" t="n"/>
      <c r="B15" s="28" t="inlineStr">
        <is>
          <t xml:space="preserve">Version
</t>
        </is>
      </c>
      <c r="C15" s="75" t="inlineStr">
        <is>
          <t>1.0</t>
        </is>
      </c>
    </row>
    <row r="16" ht="30" customHeight="1">
      <c r="A16" s="90" t="n"/>
      <c r="B16" s="93" t="inlineStr">
        <is>
          <t xml:space="preserve">Dated
</t>
        </is>
      </c>
      <c r="C16" s="95" t="inlineStr">
        <is>
          <t>[Date the assessment was carried out]</t>
        </is>
      </c>
    </row>
    <row r="17" ht="30" customHeight="1">
      <c r="A17" s="90" t="n"/>
      <c r="B17" s="28" t="inlineStr">
        <is>
          <t xml:space="preserve">Risk Assessors
</t>
        </is>
      </c>
      <c r="C17" s="75" t="inlineStr">
        <is>
          <t>[Name and title of person(s) carrying out the risk assessment]</t>
        </is>
      </c>
    </row>
    <row r="18" ht="30" customHeight="1">
      <c r="A18" s="90" t="n"/>
      <c r="B18" s="28" t="inlineStr">
        <is>
          <t>Risk Assessment Participants</t>
        </is>
      </c>
      <c r="C18" s="75" t="inlineStr">
        <is>
          <t>[Names and titles of people contributing to the risk assessment]</t>
        </is>
      </c>
    </row>
    <row r="19" ht="30" customHeight="1">
      <c r="A19" s="90" t="n"/>
      <c r="B19" s="93" t="inlineStr">
        <is>
          <t xml:space="preserve">Approval
</t>
        </is>
      </c>
      <c r="C19" s="92" t="inlineStr">
        <is>
          <t>[Name and title of approver]</t>
        </is>
      </c>
    </row>
    <row r="20" ht="30" customHeight="1">
      <c r="A20" s="90" t="n"/>
      <c r="B20" s="28" t="inlineStr">
        <is>
          <t xml:space="preserve">Date Approved
</t>
        </is>
      </c>
      <c r="C20" s="96" t="inlineStr">
        <is>
          <t>[Date the assessment was approved]</t>
        </is>
      </c>
    </row>
  </sheetData>
  <pageMargins left="0.7086614173228347" right="0.7086614173228347" top="0.7480314960629921" bottom="0.7480314960629921" header="0.3149606299212598" footer="0.3149606299212598"/>
  <pageSetup orientation="portrait" paperSize="9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AO33"/>
  <sheetViews>
    <sheetView showGridLines="0" zoomScaleNormal="100" workbookViewId="0">
      <selection activeCell="A1" sqref="A1"/>
    </sheetView>
  </sheetViews>
  <sheetFormatPr baseColWidth="8" defaultColWidth="9.140625" defaultRowHeight="15"/>
  <cols>
    <col width="2.85546875" customWidth="1" style="11" min="1" max="1"/>
    <col width="4.28515625" customWidth="1" style="11" min="2" max="2"/>
    <col width="15.85546875" customWidth="1" style="11" min="3" max="3"/>
    <col width="21.140625" customWidth="1" style="11" min="4" max="6"/>
    <col width="10.140625" customWidth="1" style="11" min="7" max="7"/>
    <col width="12.7109375" customWidth="1" style="11" min="8" max="8"/>
    <col width="15.140625" customWidth="1" style="11" min="9" max="9"/>
    <col width="10.5703125" customWidth="1" style="11" min="10" max="10"/>
    <col width="18.28515625" customWidth="1" style="11" min="11" max="11"/>
    <col width="10.7109375" customWidth="1" style="11" min="12" max="12"/>
    <col width="18.28515625" customWidth="1" style="11" min="13" max="13"/>
    <col width="11.7109375" customWidth="1" style="11" min="14" max="14"/>
    <col width="13.42578125" customWidth="1" style="11" min="15" max="15"/>
    <col width="11.7109375" customWidth="1" style="11" min="16" max="16"/>
    <col width="17.140625" customWidth="1" style="11" min="17" max="17"/>
    <col width="15.140625" customWidth="1" style="11" min="18" max="18"/>
    <col width="12.42578125" customWidth="1" style="11" min="19" max="19"/>
    <col width="13.140625" customWidth="1" style="11" min="20" max="20"/>
    <col width="14.85546875" customWidth="1" style="11" min="21" max="21"/>
    <col width="11.85546875" customWidth="1" style="11" min="22" max="22"/>
    <col width="14.85546875" customWidth="1" style="11" min="23" max="23"/>
    <col width="11.28515625" customWidth="1" style="11" min="24" max="24"/>
    <col width="12.5703125" customWidth="1" style="11" min="25" max="25"/>
    <col width="14.5703125" customWidth="1" style="11" min="26" max="26"/>
    <col width="10.85546875" customWidth="1" style="11" min="27" max="27"/>
    <col width="11" customWidth="1" style="11" min="28" max="28"/>
    <col width="11.5703125" customWidth="1" style="11" min="29" max="29"/>
    <col width="18.140625" customWidth="1" style="11" min="30" max="30"/>
    <col width="9.140625" customWidth="1" style="11" min="31" max="16384"/>
  </cols>
  <sheetData>
    <row r="1"/>
    <row r="2" ht="15" customHeight="1">
      <c r="D2" s="15" t="n"/>
      <c r="E2" s="15" t="n"/>
      <c r="F2" s="15" t="n"/>
      <c r="G2" s="16" t="n"/>
      <c r="H2" s="15" t="n"/>
      <c r="I2" s="15" t="n"/>
      <c r="J2" s="15" t="n"/>
      <c r="L2" s="15" t="n"/>
      <c r="M2" s="15" t="n"/>
      <c r="N2" s="15" t="n"/>
      <c r="O2" s="15" t="n"/>
      <c r="P2" s="15" t="n"/>
      <c r="Q2" s="15" t="n"/>
      <c r="R2" s="15" t="n"/>
    </row>
    <row r="3"/>
    <row r="4">
      <c r="D4" s="15" t="n"/>
      <c r="E4" s="15" t="n"/>
      <c r="F4" s="15" t="n"/>
      <c r="G4" s="17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</row>
    <row r="5">
      <c r="D5" s="15" t="n"/>
      <c r="E5" s="15" t="n"/>
      <c r="F5" s="15" t="n"/>
      <c r="G5" s="17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</row>
    <row r="6">
      <c r="D6" s="15" t="n"/>
      <c r="E6" s="15" t="n"/>
      <c r="F6" s="15" t="n"/>
      <c r="G6" s="17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</row>
    <row r="7">
      <c r="D7" s="15" t="n"/>
      <c r="E7" s="15" t="n"/>
      <c r="F7" s="15" t="n"/>
      <c r="G7" s="17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 ht="21" customHeight="1">
      <c r="B8" s="10" t="inlineStr">
        <is>
          <t>Asset-Based Risk Assessment and Treatment Tool</t>
        </is>
      </c>
      <c r="D8" s="15" t="n"/>
      <c r="E8" s="15" t="n"/>
      <c r="F8" s="15" t="n"/>
      <c r="G8" s="17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</row>
    <row r="9">
      <c r="B9" s="97" t="inlineStr">
        <is>
          <t>Start with your most valuable assets and the most likely threats that will cause the highest impact.</t>
        </is>
      </c>
      <c r="C9" s="97" t="n"/>
      <c r="D9" s="98" t="n"/>
      <c r="E9" s="98" t="n"/>
      <c r="F9" s="98" t="n"/>
      <c r="G9" s="99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 ht="15" customHeight="1">
      <c r="B10" s="69" t="inlineStr">
        <is>
          <t>To refresh chart data on the risk dashboard, click on “Refresh All” on the Data ribbon.</t>
        </is>
      </c>
      <c r="C10" s="12" t="n"/>
      <c r="D10" s="12" t="n"/>
      <c r="E10" s="12" t="n"/>
      <c r="F10" s="12" t="n"/>
      <c r="G10" s="12" t="n"/>
      <c r="H10" s="12" t="n"/>
      <c r="I10" s="12" t="n"/>
      <c r="J10" s="15" t="n"/>
      <c r="K10" s="15" t="n"/>
      <c r="L10" s="15" t="n"/>
      <c r="M10" s="15" t="n"/>
      <c r="N10" s="67" t="n"/>
      <c r="O10" s="68" t="n"/>
      <c r="P10" s="68" t="n"/>
      <c r="Q10" s="15" t="n"/>
      <c r="R10" s="15" t="n"/>
    </row>
    <row r="11" ht="15" customHeight="1">
      <c r="D11" s="15" t="n"/>
      <c r="E11" s="15" t="n"/>
      <c r="F11" s="15" t="n"/>
      <c r="G11" s="17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 ht="22.5" customHeight="1">
      <c r="B12" s="109" t="inlineStr">
        <is>
          <t xml:space="preserve"> RISK DESCRIPTION</t>
        </is>
      </c>
      <c r="H12" s="116" t="n"/>
      <c r="I12" s="117" t="inlineStr">
        <is>
          <t xml:space="preserve"> PRE-TREATMENT ASSESSMENT</t>
        </is>
      </c>
      <c r="O12" s="116" t="n"/>
      <c r="P12" s="117" t="inlineStr">
        <is>
          <t xml:space="preserve"> TREATMENT PLAN</t>
        </is>
      </c>
      <c r="W12" s="116" t="n"/>
      <c r="X12" s="110" t="inlineStr">
        <is>
          <t xml:space="preserve"> POST-TREATMENT ASSESSMENT</t>
        </is>
      </c>
    </row>
    <row r="13" ht="60" customHeight="1">
      <c r="B13" s="12" t="inlineStr">
        <is>
          <t>Ref</t>
        </is>
      </c>
      <c r="C13" s="12" t="inlineStr">
        <is>
          <t>Asset Group</t>
        </is>
      </c>
      <c r="D13" s="12" t="inlineStr">
        <is>
          <t>Asset</t>
        </is>
      </c>
      <c r="E13" s="12" t="inlineStr">
        <is>
          <t>Threat</t>
        </is>
      </c>
      <c r="F13" s="12" t="inlineStr">
        <is>
          <t>Vulnerability</t>
        </is>
      </c>
      <c r="G13" s="12" t="inlineStr">
        <is>
          <t>Risk Type</t>
        </is>
      </c>
      <c r="H13" s="12" t="inlineStr">
        <is>
          <t>Risk Owner</t>
        </is>
      </c>
      <c r="I13" s="12" t="inlineStr">
        <is>
          <t>Existing Controls</t>
        </is>
      </c>
      <c r="J13" s="12" t="inlineStr">
        <is>
          <t>Likelihood</t>
        </is>
      </c>
      <c r="K13" s="12" t="inlineStr">
        <is>
          <t>Likelihood Rationale</t>
        </is>
      </c>
      <c r="L13" s="12" t="inlineStr">
        <is>
          <t>Impact</t>
        </is>
      </c>
      <c r="M13" s="12" t="inlineStr">
        <is>
          <t>Impact Rationale</t>
        </is>
      </c>
      <c r="N13" s="12" t="inlineStr">
        <is>
          <t>Risk Score</t>
        </is>
      </c>
      <c r="O13" s="12" t="inlineStr">
        <is>
          <t>Risk Level</t>
        </is>
      </c>
      <c r="P13" s="12" t="inlineStr">
        <is>
          <t>Treatment Option Chosen</t>
        </is>
      </c>
      <c r="Q13" s="12" t="inlineStr">
        <is>
          <t>Proposed Treatment Action</t>
        </is>
      </c>
      <c r="R13" s="12" t="inlineStr">
        <is>
          <t>Annex A/Control Reference</t>
        </is>
      </c>
      <c r="S13" s="12" t="inlineStr">
        <is>
          <t>Treatment Cost</t>
        </is>
      </c>
      <c r="T13" s="12" t="inlineStr">
        <is>
          <t>Treatment Action Owner</t>
        </is>
      </c>
      <c r="U13" s="12" t="inlineStr">
        <is>
          <t>Treatment Action Timescale</t>
        </is>
      </c>
      <c r="V13" s="12" t="inlineStr">
        <is>
          <t>Treatment Action Progress</t>
        </is>
      </c>
      <c r="W13" s="12" t="inlineStr">
        <is>
          <t>Treatment Action Status</t>
        </is>
      </c>
      <c r="X13" s="12" t="inlineStr">
        <is>
          <t>Post-Treatment Likelihood</t>
        </is>
      </c>
      <c r="Y13" s="12" t="inlineStr">
        <is>
          <t>Post-Treatment Likelihood Rationale</t>
        </is>
      </c>
      <c r="Z13" s="12" t="inlineStr">
        <is>
          <t>Post- Treatment Impact</t>
        </is>
      </c>
      <c r="AA13" s="12" t="inlineStr">
        <is>
          <t>Post-Treatment Impact Rationale</t>
        </is>
      </c>
      <c r="AB13" s="12" t="inlineStr">
        <is>
          <t>Post-Treatment Risk Score</t>
        </is>
      </c>
      <c r="AC13" s="12" t="inlineStr">
        <is>
          <t>Post-Treatment Risk Level</t>
        </is>
      </c>
      <c r="AD13" s="12" t="inlineStr">
        <is>
          <t>Comments</t>
        </is>
      </c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</row>
    <row r="14">
      <c r="B14" s="14" t="inlineStr">
        <is>
          <t>R-01</t>
        </is>
      </c>
      <c r="C14" s="14" t="inlineStr">
        <is>
          <t>Information</t>
        </is>
      </c>
      <c r="D14" s="14" t="inlineStr">
        <is>
          <t>Customer data and core banking databases (A-01)</t>
        </is>
      </c>
      <c r="E14" s="14" t="inlineStr">
        <is>
          <t>Ransomware/data breach</t>
        </is>
      </c>
      <c r="F14" s="14" t="inlineStr">
        <is>
          <t>PII and financial data exposure / inadequate segmentation</t>
        </is>
      </c>
      <c r="G14" s="14" t="inlineStr">
        <is>
          <t>Confidentiality</t>
        </is>
      </c>
      <c r="H14" s="14" t="inlineStr">
        <is>
          <t>CISO</t>
        </is>
      </c>
      <c r="I14" s="14" t="inlineStr">
        <is>
          <t>Access control, endpoint protection, backups</t>
        </is>
      </c>
      <c r="J14" s="14" t="n">
        <v>4</v>
      </c>
      <c r="K14" s="14" t="inlineStr">
        <is>
          <t>Targeted banking threat and high-value data</t>
        </is>
      </c>
      <c r="L14" s="14" t="n">
        <v>5</v>
      </c>
      <c r="M14" s="14" t="inlineStr">
        <is>
          <t>500,000+ customers, regulatory and reputational impact</t>
        </is>
      </c>
      <c r="N14" s="12">
        <f>IFERROR(RiskAssessment[[#This Row],[Likelihood]]*RiskAssessment[[#This Row],[Impact]],"Calculated")</f>
        <v/>
      </c>
      <c r="O14" s="12">
        <f>IF(N14="Calculated", "Calculated", IF(N14&gt;11, " HIGH",IF(N14&gt;4," MEDIUM"," LOW")))</f>
        <v/>
      </c>
      <c r="P14" s="14" t="inlineStr">
        <is>
          <t>Mitigate</t>
        </is>
      </c>
      <c r="Q14" s="14" t="inlineStr">
        <is>
          <t>Segment access, DLP, encryption, monitoring and tested restore</t>
        </is>
      </c>
      <c r="R14" s="14" t="inlineStr">
        <is>
          <t>A.5.15,A.5.23,A.8.12,A.8.13,A.8.24</t>
        </is>
      </c>
      <c r="S14" s="118" t="n">
        <v>0</v>
      </c>
      <c r="T14" s="14" t="inlineStr">
        <is>
          <t>CISO</t>
        </is>
      </c>
      <c r="U14" s="14" t="inlineStr">
        <is>
          <t>To Be Confirmed</t>
        </is>
      </c>
      <c r="V14" s="14" t="inlineStr">
        <is>
          <t>In progress</t>
        </is>
      </c>
      <c r="W14" s="14" t="inlineStr">
        <is>
          <t>3</t>
        </is>
      </c>
      <c r="X14" s="14" t="n">
        <v>3</v>
      </c>
      <c r="Y14" s="14" t="inlineStr">
        <is>
          <t>Residual impact remains high if breach occurs</t>
        </is>
      </c>
      <c r="Z14" s="14" t="n">
        <v>3</v>
      </c>
      <c r="AA14" s="14" t="inlineStr">
        <is>
          <t>Residual regulatory and customer impact remains high</t>
        </is>
      </c>
      <c r="AB14" s="12">
        <f>IFERROR(RiskAssessment[[#This Row],[Post-Treatment Likelihood]]*RiskAssessment[[#This Row],[Post- Treatment Impact]],"Calculated")</f>
        <v/>
      </c>
      <c r="AC14" s="12" t="inlineStr">
        <is>
          <t>Treatment linked to SoA and objectives</t>
        </is>
      </c>
      <c r="AD14" s="14" t="n"/>
    </row>
    <row r="15">
      <c r="B15" s="14" t="inlineStr">
        <is>
          <t>R-02</t>
        </is>
      </c>
      <c r="C15" s="14" t="inlineStr">
        <is>
          <t>Technology</t>
        </is>
      </c>
      <c r="D15" s="14" t="inlineStr">
        <is>
          <t>Afaq Plus</t>
        </is>
      </c>
      <c r="E15" s="14" t="inlineStr">
        <is>
          <t>SQL injection via input validation flaws</t>
        </is>
      </c>
      <c r="F15" s="14" t="inlineStr">
        <is>
          <t>Three high vulnerabilities, one outstanding</t>
        </is>
      </c>
      <c r="G15" s="14" t="inlineStr">
        <is>
          <t>Integrity</t>
        </is>
      </c>
      <c r="H15" s="14" t="inlineStr">
        <is>
          <t>CIO</t>
        </is>
      </c>
      <c r="I15" s="14" t="inlineStr">
        <is>
          <t>External quarterly scanning; partial remediation</t>
        </is>
      </c>
      <c r="J15" s="14" t="n">
        <v>4</v>
      </c>
      <c r="K15" s="14" t="inlineStr">
        <is>
          <t>Three high findings and repeated findings</t>
        </is>
      </c>
      <c r="L15" s="14" t="n">
        <v>5</v>
      </c>
      <c r="M15" s="14" t="inlineStr">
        <is>
          <t>Unauthorised transactions/data manipulation</t>
        </is>
      </c>
      <c r="N15" s="12">
        <f>IFERROR(RiskAssessment[[#This Row],[Likelihood]]*RiskAssessment[[#This Row],[Impact]],"Calculated")</f>
        <v/>
      </c>
      <c r="O15" s="12">
        <f>IF(N15="Calculated", "Calculated", IF(N15&gt;11, " HIGH",IF(N15&gt;4," MEDIUM"," LOW")))</f>
        <v/>
      </c>
      <c r="P15" s="14" t="inlineStr">
        <is>
          <t>Mitigate</t>
        </is>
      </c>
      <c r="Q15" s="14" t="inlineStr">
        <is>
          <t>Secure SDLC, remediate high findings, penetration test and approval gate</t>
        </is>
      </c>
      <c r="R15" s="14" t="inlineStr">
        <is>
          <t>A.8.8,A.8.25,A.8.28,A.8.29,A.8.30</t>
        </is>
      </c>
      <c r="S15" s="118" t="n">
        <v>0</v>
      </c>
      <c r="T15" s="14" t="inlineStr">
        <is>
          <t>CIO / Dev Lead</t>
        </is>
      </c>
      <c r="U15" s="14" t="inlineStr">
        <is>
          <t>To Be Confirmed</t>
        </is>
      </c>
      <c r="V15" s="14" t="inlineStr">
        <is>
          <t>In progress</t>
        </is>
      </c>
      <c r="W15" s="14" t="inlineStr">
        <is>
          <t>2</t>
        </is>
      </c>
      <c r="X15" s="14" t="n">
        <v>2</v>
      </c>
      <c r="Y15" s="14" t="inlineStr">
        <is>
          <t>High findings reduced but one remains</t>
        </is>
      </c>
      <c r="Z15" s="14" t="n">
        <v>4</v>
      </c>
      <c r="AA15" s="14" t="inlineStr">
        <is>
          <t>Application impact remains significant</t>
        </is>
      </c>
      <c r="AB15" s="12">
        <f>IFERROR(RiskAssessment[[#This Row],[Post-Treatment Likelihood]]*RiskAssessment[[#This Row],[Post- Treatment Impact]],"Calculated")</f>
        <v/>
      </c>
      <c r="AC15" s="12" t="inlineStr">
        <is>
          <t>Open vulnerability treatment</t>
        </is>
      </c>
      <c r="AD15" s="14" t="n"/>
    </row>
    <row r="16">
      <c r="B16" s="14" t="inlineStr">
        <is>
          <t>R-03</t>
        </is>
      </c>
      <c r="C16" s="14" t="inlineStr">
        <is>
          <t>Technology</t>
        </is>
      </c>
      <c r="D16" s="14" t="inlineStr">
        <is>
          <t>Network firewall configuration</t>
        </is>
      </c>
      <c r="E16" s="14" t="inlineStr">
        <is>
          <t>Human error/change failure</t>
        </is>
      </c>
      <c r="F16" s="14" t="inlineStr">
        <is>
          <t>No two-person review or rapid rollback demonstrated</t>
        </is>
      </c>
      <c r="G16" s="14" t="inlineStr">
        <is>
          <t>Availability</t>
        </is>
      </c>
      <c r="H16" s="14" t="inlineStr">
        <is>
          <t>IT Director</t>
        </is>
      </c>
      <c r="I16" s="14" t="inlineStr">
        <is>
          <t>HA firewall pair</t>
        </is>
      </c>
      <c r="J16" s="14" t="n">
        <v>3</v>
      </c>
      <c r="K16" s="14" t="inlineStr">
        <is>
          <t>Prior outage caused by deleted rule</t>
        </is>
      </c>
      <c r="L16" s="14" t="n">
        <v>5</v>
      </c>
      <c r="M16" s="14" t="inlineStr">
        <is>
          <t>Three-hour digital banking outage at payroll peak</t>
        </is>
      </c>
      <c r="N16" s="12">
        <f>IFERROR(RiskAssessment[[#This Row],[Likelihood]]*RiskAssessment[[#This Row],[Impact]],"Calculated")</f>
        <v/>
      </c>
      <c r="O16" s="12">
        <f>IF(N16="Calculated", "Calculated", IF(N16&gt;11, " HIGH",IF(N16&gt;4," MEDIUM"," LOW")))</f>
        <v/>
      </c>
      <c r="P16" s="14" t="inlineStr">
        <is>
          <t>Mitigate</t>
        </is>
      </c>
      <c r="Q16" s="14" t="inlineStr">
        <is>
          <t>Dual approval, tested rollback, change monitoring and configuration backup</t>
        </is>
      </c>
      <c r="R16" s="14" t="inlineStr">
        <is>
          <t>A.8.9,A.8.14,A.8.32,A.5.37</t>
        </is>
      </c>
      <c r="S16" s="118" t="n">
        <v>0</v>
      </c>
      <c r="T16" s="14" t="inlineStr">
        <is>
          <t>IT Director</t>
        </is>
      </c>
      <c r="U16" s="14" t="inlineStr">
        <is>
          <t>To Be Confirmed</t>
        </is>
      </c>
      <c r="V16" s="14" t="inlineStr">
        <is>
          <t>Planned</t>
        </is>
      </c>
      <c r="W16" s="14" t="inlineStr">
        <is>
          <t>2</t>
        </is>
      </c>
      <c r="X16" s="14" t="n">
        <v>2</v>
      </c>
      <c r="Y16" s="14" t="inlineStr">
        <is>
          <t>Controls to be verified</t>
        </is>
      </c>
      <c r="Z16" s="14" t="n">
        <v>4</v>
      </c>
      <c r="AA16" s="14" t="inlineStr">
        <is>
          <t>Residual outage impact remains high</t>
        </is>
      </c>
      <c r="AB16" s="12">
        <f>IFERROR(RiskAssessment[[#This Row],[Post-Treatment Likelihood]]*RiskAssessment[[#This Row],[Post- Treatment Impact]],"Calculated")</f>
        <v/>
      </c>
      <c r="AC16" s="12" t="inlineStr">
        <is>
          <t>Based on incident 4.1</t>
        </is>
      </c>
      <c r="AD16" s="14" t="n"/>
    </row>
    <row r="17">
      <c r="B17" s="14" t="inlineStr">
        <is>
          <t>R-04</t>
        </is>
      </c>
      <c r="C17" s="14" t="inlineStr">
        <is>
          <t>Information</t>
        </is>
      </c>
      <c r="D17" s="14" t="inlineStr">
        <is>
          <t>Marketing laptop copies</t>
        </is>
      </c>
      <c r="E17" s="80" t="inlineStr">
        <is>
          <t>Loss/theft of unencrypted endpoint</t>
        </is>
      </c>
      <c r="F17" s="80" t="inlineStr">
        <is>
          <t>Full-disk encryption was not enabled historically; delayed reporting</t>
        </is>
      </c>
      <c r="G17" s="14" t="inlineStr">
        <is>
          <t>Confidentiality</t>
        </is>
      </c>
      <c r="H17" s="14" t="inlineStr">
        <is>
          <t>IT Director</t>
        </is>
      </c>
      <c r="I17" s="14" t="inlineStr">
        <is>
          <t>User credentials and incident reporting</t>
        </is>
      </c>
      <c r="J17" s="14" t="n">
        <v>4</v>
      </c>
      <c r="K17" s="14" t="inlineStr">
        <is>
          <t>Laptop loss occurred and report delayed 48 hours</t>
        </is>
      </c>
      <c r="L17" s="14" t="n">
        <v>5</v>
      </c>
      <c r="M17" s="14" t="inlineStr">
        <is>
          <t>Customer PII and banking details; regulatory fine occurred</t>
        </is>
      </c>
      <c r="N17" s="12">
        <f>IFERROR(RiskAssessment[[#This Row],[Likelihood]]*RiskAssessment[[#This Row],[Impact]],"Calculated")</f>
        <v/>
      </c>
      <c r="O17" s="12">
        <f>IF(N17="Calculated", "Calculated", IF(N17&gt;11, " HIGH",IF(N17&gt;4," MEDIUM"," LOW")))</f>
        <v/>
      </c>
      <c r="P17" s="14" t="inlineStr">
        <is>
          <t>Mitigate</t>
        </is>
      </c>
      <c r="Q17" s="14" t="inlineStr">
        <is>
          <t>Mandatory full-disk encryption, MDM, no local sensitive copies and immediate reporting</t>
        </is>
      </c>
      <c r="R17" s="70" t="inlineStr">
        <is>
          <t>A.8.1,A.8.10,A.8.24,A.6.8</t>
        </is>
      </c>
      <c r="S17" s="118" t="n">
        <v>0</v>
      </c>
      <c r="T17" s="14" t="inlineStr">
        <is>
          <t>IT Support</t>
        </is>
      </c>
      <c r="U17" s="88" t="inlineStr">
        <is>
          <t>To Be Confirmed</t>
        </is>
      </c>
      <c r="V17" s="14" t="inlineStr">
        <is>
          <t>In progress</t>
        </is>
      </c>
      <c r="W17" s="14" t="inlineStr">
        <is>
          <t>2</t>
        </is>
      </c>
      <c r="X17" s="14" t="n">
        <v>2</v>
      </c>
      <c r="Y17" s="14" t="inlineStr">
        <is>
          <t>Encryption rollout to be evidenced</t>
        </is>
      </c>
      <c r="Z17" s="14" t="n">
        <v>4</v>
      </c>
      <c r="AA17" s="14" t="inlineStr">
        <is>
          <t>Residual disclosure impact remains high</t>
        </is>
      </c>
      <c r="AB17" s="12">
        <f>IFERROR(RiskAssessment[[#This Row],[Post-Treatment Likelihood]]*RiskAssessment[[#This Row],[Post- Treatment Impact]],"Calculated")</f>
        <v/>
      </c>
      <c r="AC17" s="12" t="inlineStr">
        <is>
          <t>Based on incident 4.3</t>
        </is>
      </c>
      <c r="AD17" s="14" t="n"/>
    </row>
    <row r="18">
      <c r="B18" s="14" t="inlineStr">
        <is>
          <t>R-05</t>
        </is>
      </c>
      <c r="C18" s="14" t="inlineStr">
        <is>
          <t>Information</t>
        </is>
      </c>
      <c r="D18" s="14" t="inlineStr">
        <is>
          <t>Administrative credentials</t>
        </is>
      </c>
      <c r="E18" s="80" t="inlineStr">
        <is>
          <t>Privileged access misuse</t>
        </is>
      </c>
      <c r="F18" s="80" t="inlineStr">
        <is>
          <t>No privileged password management; manual handling</t>
        </is>
      </c>
      <c r="G18" s="14" t="inlineStr">
        <is>
          <t>Confidentiality</t>
        </is>
      </c>
      <c r="H18" s="14" t="inlineStr">
        <is>
          <t>CISO</t>
        </is>
      </c>
      <c r="I18" s="14" t="inlineStr">
        <is>
          <t>AD and MFA for some remote access</t>
        </is>
      </c>
      <c r="J18" s="14" t="n">
        <v>4</v>
      </c>
      <c r="K18" s="14" t="inlineStr">
        <is>
          <t>Manual passwords and inherited permissions</t>
        </is>
      </c>
      <c r="L18" s="14" t="n">
        <v>5</v>
      </c>
      <c r="M18" s="14" t="inlineStr">
        <is>
          <t>Access to HR and critical systems</t>
        </is>
      </c>
      <c r="N18" s="12">
        <f>IFERROR(RiskAssessment[[#This Row],[Likelihood]]*RiskAssessment[[#This Row],[Impact]],"Calculated")</f>
        <v/>
      </c>
      <c r="O18" s="12">
        <f>IF(N18="Calculated", "Calculated", IF(N18&gt;11, " HIGH",IF(N18&gt;4," MEDIUM"," LOW")))</f>
        <v/>
      </c>
      <c r="P18" s="14" t="inlineStr">
        <is>
          <t>Mitigate</t>
        </is>
      </c>
      <c r="Q18" s="14" t="inlineStr">
        <is>
          <t>PAM, vaulting, MFA, least privilege and quarterly review</t>
        </is>
      </c>
      <c r="R18" s="14" t="inlineStr">
        <is>
          <t>A.5.18,A.8.2,A.8.3,A.8.5</t>
        </is>
      </c>
      <c r="S18" s="118" t="n">
        <v>0</v>
      </c>
      <c r="T18" s="14" t="inlineStr">
        <is>
          <t>CISO / IT</t>
        </is>
      </c>
      <c r="U18" s="14" t="inlineStr">
        <is>
          <t>To Be Confirmed</t>
        </is>
      </c>
      <c r="V18" s="14" t="inlineStr">
        <is>
          <t>Planned</t>
        </is>
      </c>
      <c r="W18" s="14" t="inlineStr">
        <is>
          <t>2</t>
        </is>
      </c>
      <c r="X18" s="14" t="n">
        <v>2</v>
      </c>
      <c r="Y18" s="14" t="inlineStr">
        <is>
          <t>PAM not yet available</t>
        </is>
      </c>
      <c r="Z18" s="14" t="n">
        <v>4</v>
      </c>
      <c r="AA18" s="14" t="inlineStr">
        <is>
          <t>Residual privileged access impact high</t>
        </is>
      </c>
      <c r="AB18" s="12">
        <f>IFERROR(RiskAssessment[[#This Row],[Post-Treatment Likelihood]]*RiskAssessment[[#This Row],[Post- Treatment Impact]],"Calculated")</f>
        <v/>
      </c>
      <c r="AC18" s="12" t="inlineStr">
        <is>
          <t>Based on incident 4.5</t>
        </is>
      </c>
      <c r="AD18" s="14" t="n"/>
    </row>
    <row r="19">
      <c r="B19" s="14" t="inlineStr">
        <is>
          <t>R-06</t>
        </is>
      </c>
      <c r="C19" s="14" t="inlineStr">
        <is>
          <t>Technology</t>
        </is>
      </c>
      <c r="D19" s="14" t="inlineStr">
        <is>
          <t>Digital certificates</t>
        </is>
      </c>
      <c r="E19" s="80" t="inlineStr">
        <is>
          <t>Certificate expiry</t>
        </is>
      </c>
      <c r="F19" s="80" t="inlineStr">
        <is>
          <t>No automated expiry monitoring</t>
        </is>
      </c>
      <c r="G19" s="14" t="inlineStr">
        <is>
          <t>Availability</t>
        </is>
      </c>
      <c r="H19" s="14" t="inlineStr">
        <is>
          <t>IT Director</t>
        </is>
      </c>
      <c r="I19" s="14" t="inlineStr">
        <is>
          <t>Manual renewal</t>
        </is>
      </c>
      <c r="J19" s="14" t="n">
        <v>3</v>
      </c>
      <c r="K19" s="14" t="inlineStr">
        <is>
          <t>SSL/TLS expiry occurred for four hours</t>
        </is>
      </c>
      <c r="L19" s="14" t="n">
        <v>4</v>
      </c>
      <c r="M19" s="14" t="inlineStr">
        <is>
          <t>Customer trust and access disruption</t>
        </is>
      </c>
      <c r="N19" s="12">
        <f>IFERROR(RiskAssessment[[#This Row],[Likelihood]]*RiskAssessment[[#This Row],[Impact]],"Calculated")</f>
        <v/>
      </c>
      <c r="O19" s="12">
        <f>IF(N19="Calculated", "Calculated", IF(N19&gt;11, " HIGH",IF(N19&gt;4," MEDIUM"," LOW")))</f>
        <v/>
      </c>
      <c r="P19" s="14" t="inlineStr">
        <is>
          <t>Mitigate</t>
        </is>
      </c>
      <c r="Q19" s="14" t="inlineStr">
        <is>
          <t>Certificate inventory, automated alerting and renewal ownership</t>
        </is>
      </c>
      <c r="R19" s="14" t="inlineStr">
        <is>
          <t>A.8.9,A.8.16,A.8.21</t>
        </is>
      </c>
      <c r="S19" s="118" t="n">
        <v>0</v>
      </c>
      <c r="T19" s="14" t="inlineStr">
        <is>
          <t>IT Infrastructure</t>
        </is>
      </c>
      <c r="U19" s="14" t="inlineStr">
        <is>
          <t>To Be Confirmed</t>
        </is>
      </c>
      <c r="V19" s="14" t="inlineStr">
        <is>
          <t>Planned</t>
        </is>
      </c>
      <c r="W19" s="14" t="inlineStr">
        <is>
          <t>1</t>
        </is>
      </c>
      <c r="X19" s="14" t="n">
        <v>1</v>
      </c>
      <c r="Y19" s="14" t="inlineStr">
        <is>
          <t>Monitoring to be implemented</t>
        </is>
      </c>
      <c r="Z19" s="14" t="n">
        <v>3</v>
      </c>
      <c r="AA19" s="14" t="inlineStr">
        <is>
          <t>Limited outage impact</t>
        </is>
      </c>
      <c r="AB19" s="12">
        <f>IFERROR(RiskAssessment[[#This Row],[Post-Treatment Likelihood]]*RiskAssessment[[#This Row],[Post- Treatment Impact]],"Calculated")</f>
        <v/>
      </c>
      <c r="AC19" s="12" t="inlineStr">
        <is>
          <t>Based on incident 4.4</t>
        </is>
      </c>
      <c r="AD19" s="14" t="n"/>
    </row>
    <row r="20">
      <c r="B20" s="14" t="inlineStr">
        <is>
          <t>R-07</t>
        </is>
      </c>
      <c r="C20" s="14" t="inlineStr">
        <is>
          <t>People</t>
        </is>
      </c>
      <c r="D20" s="14" t="inlineStr">
        <is>
          <t>Finance users</t>
        </is>
      </c>
      <c r="E20" s="80" t="inlineStr">
        <is>
          <t>Phishing/business email compromise</t>
        </is>
      </c>
      <c r="F20" s="80" t="inlineStr">
        <is>
          <t>25% clicked; 12% submitted credentials; only 8% reported</t>
        </is>
      </c>
      <c r="G20" s="14" t="inlineStr">
        <is>
          <t>Confidentiality</t>
        </is>
      </c>
      <c r="H20" s="14" t="inlineStr">
        <is>
          <t>HR Director</t>
        </is>
      </c>
      <c r="I20" s="14" t="inlineStr">
        <is>
          <t>Email security and fraud detection</t>
        </is>
      </c>
      <c r="J20" s="14" t="n">
        <v>4</v>
      </c>
      <c r="K20" s="14" t="inlineStr">
        <is>
          <t>Simulation results and prior attempted transfer</t>
        </is>
      </c>
      <c r="L20" s="14" t="n">
        <v>5</v>
      </c>
      <c r="M20" s="14" t="inlineStr">
        <is>
          <t>Fraud, credential compromise and regulatory impact</t>
        </is>
      </c>
      <c r="N20" s="12">
        <f>IFERROR(RiskAssessment[[#This Row],[Likelihood]]*RiskAssessment[[#This Row],[Impact]],"Calculated")</f>
        <v/>
      </c>
      <c r="O20" s="12">
        <f>IF(N20="Calculated", "Calculated", IF(N20&gt;11, " HIGH",IF(N20&gt;4," MEDIUM"," LOW")))</f>
        <v/>
      </c>
      <c r="P20" s="14" t="inlineStr">
        <is>
          <t>Mitigate</t>
        </is>
      </c>
      <c r="Q20" s="14" t="inlineStr">
        <is>
          <t>Role-based multilingual awareness, phishing simulations, MFA and callback verification</t>
        </is>
      </c>
      <c r="R20" s="14" t="inlineStr">
        <is>
          <t>A.6.3,A.6.8,A.8.5,A.8.7</t>
        </is>
      </c>
      <c r="S20" s="118" t="n">
        <v>0</v>
      </c>
      <c r="T20" s="14" t="inlineStr">
        <is>
          <t>CISO / HR</t>
        </is>
      </c>
      <c r="U20" s="14" t="inlineStr">
        <is>
          <t>To Be Confirmed</t>
        </is>
      </c>
      <c r="V20" s="14" t="inlineStr">
        <is>
          <t>Planned</t>
        </is>
      </c>
      <c r="W20" s="14" t="inlineStr">
        <is>
          <t>2</t>
        </is>
      </c>
      <c r="X20" s="14" t="n">
        <v>2</v>
      </c>
      <c r="Y20" s="14" t="inlineStr">
        <is>
          <t>Awareness baseline is weak</t>
        </is>
      </c>
      <c r="Z20" s="14" t="n">
        <v>4</v>
      </c>
      <c r="AA20" s="14" t="inlineStr">
        <is>
          <t>Residual social-engineering impact</t>
        </is>
      </c>
      <c r="AB20" s="12">
        <f>IFERROR(RiskAssessment[[#This Row],[Post-Treatment Likelihood]]*RiskAssessment[[#This Row],[Post- Treatment Impact]],"Calculated")</f>
        <v/>
      </c>
      <c r="AC20" s="12" t="inlineStr">
        <is>
          <t>Based on incidents 4.2 and 4.7</t>
        </is>
      </c>
      <c r="AD20" s="14" t="n"/>
    </row>
    <row r="21">
      <c r="B21" s="14" t="inlineStr">
        <is>
          <t>R-08</t>
        </is>
      </c>
      <c r="C21" s="14" t="inlineStr">
        <is>
          <t>Technology</t>
        </is>
      </c>
      <c r="D21" s="14" t="inlineStr">
        <is>
          <t>Security logs</t>
        </is>
      </c>
      <c r="E21" s="80" t="inlineStr">
        <is>
          <t>Delayed detection/investigation</t>
        </is>
      </c>
      <c r="F21" s="80" t="inlineStr">
        <is>
          <t>No SIEM; manual analysis; time drift up to seven minutes</t>
        </is>
      </c>
      <c r="G21" s="14" t="inlineStr">
        <is>
          <t>Integrity</t>
        </is>
      </c>
      <c r="H21" s="14" t="inlineStr">
        <is>
          <t>CISO</t>
        </is>
      </c>
      <c r="I21" s="14" t="inlineStr">
        <is>
          <t>Central Syslog and SOC</t>
        </is>
      </c>
      <c r="J21" s="14" t="n">
        <v>4</v>
      </c>
      <c r="K21" s="14" t="inlineStr">
        <is>
          <t>Manual review and unsynchronised clocks</t>
        </is>
      </c>
      <c r="L21" s="14" t="n">
        <v>4</v>
      </c>
      <c r="M21" s="14" t="inlineStr">
        <is>
          <t>Delayed response and weak evidence</t>
        </is>
      </c>
      <c r="N21" s="12">
        <f>IFERROR(RiskAssessment[[#This Row],[Likelihood]]*RiskAssessment[[#This Row],[Impact]],"Calculated")</f>
        <v/>
      </c>
      <c r="O21" s="12">
        <f>IF(N21="Calculated", "Calculated", IF(N21&gt;11, " HIGH",IF(N21&gt;4," MEDIUM"," LOW")))</f>
        <v/>
      </c>
      <c r="P21" s="14" t="inlineStr">
        <is>
          <t>Mitigate</t>
        </is>
      </c>
      <c r="Q21" s="14" t="inlineStr">
        <is>
          <t>SIEM implementation, central NTP and monitoring use cases</t>
        </is>
      </c>
      <c r="R21" s="14" t="inlineStr">
        <is>
          <t>A.8.15,A.8.16,A.8.17,A.5.28</t>
        </is>
      </c>
      <c r="S21" s="118" t="n">
        <v>0</v>
      </c>
      <c r="T21" s="14" t="inlineStr">
        <is>
          <t>CISO / SOC</t>
        </is>
      </c>
      <c r="U21" s="14" t="inlineStr">
        <is>
          <t>To Be Confirmed</t>
        </is>
      </c>
      <c r="V21" s="14" t="inlineStr">
        <is>
          <t>Planned</t>
        </is>
      </c>
      <c r="W21" s="14" t="inlineStr">
        <is>
          <t>2</t>
        </is>
      </c>
      <c r="X21" s="14" t="n">
        <v>2</v>
      </c>
      <c r="Y21" s="14" t="inlineStr">
        <is>
          <t>SIEM not currently available</t>
        </is>
      </c>
      <c r="Z21" s="14" t="n">
        <v>3</v>
      </c>
      <c r="AA21" s="14" t="inlineStr">
        <is>
          <t>Investigation impact reduced after implementation</t>
        </is>
      </c>
      <c r="AB21" s="12">
        <f>IFERROR(RiskAssessment[[#This Row],[Post-Treatment Likelihood]]*RiskAssessment[[#This Row],[Post- Treatment Impact]],"Calculated")</f>
        <v/>
      </c>
      <c r="AC21" s="12" t="inlineStr">
        <is>
          <t>Documented current gap</t>
        </is>
      </c>
      <c r="AD21" s="14" t="n"/>
    </row>
    <row r="22">
      <c r="B22" s="14" t="inlineStr">
        <is>
          <t>R-09</t>
        </is>
      </c>
      <c r="C22" s="14" t="inlineStr">
        <is>
          <t>Technology</t>
        </is>
      </c>
      <c r="D22" s="14" t="inlineStr">
        <is>
          <t>AWS development/analytics</t>
        </is>
      </c>
      <c r="E22" s="80" t="inlineStr">
        <is>
          <t>Cloud misconfiguration or unauthorised access</t>
        </is>
      </c>
      <c r="F22" s="80" t="inlineStr">
        <is>
          <t>No complete cloud risk assessment or shared-responsibility definition</t>
        </is>
      </c>
      <c r="G22" s="14" t="inlineStr">
        <is>
          <t>Confidentiality</t>
        </is>
      </c>
      <c r="H22" s="14" t="inlineStr">
        <is>
          <t>CIO</t>
        </is>
      </c>
      <c r="I22" s="14" t="inlineStr">
        <is>
          <t>AWS contractual service controls</t>
        </is>
      </c>
      <c r="J22" s="14" t="n">
        <v>3</v>
      </c>
      <c r="K22" s="14" t="inlineStr">
        <is>
          <t>Cloud is used for non-critical systems but governance is incomplete</t>
        </is>
      </c>
      <c r="L22" s="14" t="n">
        <v>4</v>
      </c>
      <c r="M22" s="14" t="inlineStr">
        <is>
          <t>Exposure of data or code and supply-chain impact</t>
        </is>
      </c>
      <c r="N22" s="12">
        <f>IFERROR(RiskAssessment[[#This Row],[Likelihood]]*RiskAssessment[[#This Row],[Impact]],"Calculated")</f>
        <v/>
      </c>
      <c r="O22" s="12">
        <f>IF(N22="Calculated", "Calculated", IF(N22&gt;11, " HIGH",IF(N22&gt;4," MEDIUM"," LOW")))</f>
        <v/>
      </c>
      <c r="P22" s="14" t="inlineStr">
        <is>
          <t>Mitigate</t>
        </is>
      </c>
      <c r="Q22" s="14" t="inlineStr">
        <is>
          <t>Cloud policy, data restrictions, encryption, IAM review and supplier assurance</t>
        </is>
      </c>
      <c r="R22" s="14" t="inlineStr">
        <is>
          <t>A.5.19,A.5.23,A.8.2,A.8.24</t>
        </is>
      </c>
      <c r="S22" s="118" t="n">
        <v>0</v>
      </c>
      <c r="T22" s="14" t="inlineStr">
        <is>
          <t>CIO / CISO</t>
        </is>
      </c>
      <c r="U22" s="14" t="inlineStr">
        <is>
          <t>To Be Confirmed</t>
        </is>
      </c>
      <c r="V22" s="14" t="inlineStr">
        <is>
          <t>Planned</t>
        </is>
      </c>
      <c r="W22" s="14" t="inlineStr">
        <is>
          <t>2</t>
        </is>
      </c>
      <c r="X22" s="14" t="n">
        <v>2</v>
      </c>
      <c r="Y22" s="14" t="inlineStr">
        <is>
          <t>Non-critical scope limits impact</t>
        </is>
      </c>
      <c r="Z22" s="14" t="n">
        <v>3</v>
      </c>
      <c r="AA22" s="14" t="inlineStr">
        <is>
          <t>Residual cloud exposure</t>
        </is>
      </c>
      <c r="AB22" s="12">
        <f>IFERROR(RiskAssessment[[#This Row],[Post-Treatment Likelihood]]*RiskAssessment[[#This Row],[Post- Treatment Impact]],"Calculated")</f>
        <v/>
      </c>
      <c r="AC22" s="12" t="inlineStr">
        <is>
          <t>Case appendix A.5.23</t>
        </is>
      </c>
      <c r="AD22" s="14" t="n"/>
    </row>
    <row r="23">
      <c r="B23" s="14" t="n">
        <v>10</v>
      </c>
      <c r="C23" s="14" t="n"/>
      <c r="D23" s="14" t="n"/>
      <c r="E23" s="80" t="n"/>
      <c r="F23" s="80" t="n"/>
      <c r="G23" s="14" t="n"/>
      <c r="H23" s="14" t="n"/>
      <c r="I23" s="14" t="n"/>
      <c r="J23" s="14" t="n"/>
      <c r="K23" s="14" t="n"/>
      <c r="L23" s="14" t="n"/>
      <c r="M23" s="14" t="n"/>
      <c r="N23" s="12">
        <f>IFERROR(RiskAssessment[[#This Row],[Likelihood]]*RiskAssessment[[#This Row],[Impact]],"Calculated")</f>
        <v/>
      </c>
      <c r="O23" s="12">
        <f>IF(N23="Calculated", "Calculated", IF(N23&gt;11, " HIGH",IF(N23&gt;4," MEDIUM"," LOW")))</f>
        <v/>
      </c>
      <c r="P23" s="14" t="n"/>
      <c r="Q23" s="14" t="n"/>
      <c r="R23" s="14" t="n"/>
      <c r="S23" s="118" t="n">
        <v>0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2">
        <f>IFERROR(RiskAssessment[[#This Row],[Post-Treatment Likelihood]]*RiskAssessment[[#This Row],[Post- Treatment Impact]],"Calculated")</f>
        <v/>
      </c>
      <c r="AC23" s="12">
        <f>IF(AB23="Calculated", "Calculated", IF(AB23&gt;11, " HIGH",IF(AB23&gt;4," MEDIUM"," LOW")))</f>
        <v/>
      </c>
      <c r="AD23" s="14" t="n"/>
    </row>
    <row r="24">
      <c r="B24" s="14" t="n">
        <v>11</v>
      </c>
      <c r="C24" s="14" t="n"/>
      <c r="D24" s="14" t="n"/>
      <c r="E24" s="80" t="n"/>
      <c r="F24" s="80" t="n"/>
      <c r="G24" s="14" t="n"/>
      <c r="H24" s="14" t="n"/>
      <c r="I24" s="14" t="n"/>
      <c r="J24" s="14" t="n"/>
      <c r="K24" s="14" t="n"/>
      <c r="L24" s="14" t="n"/>
      <c r="M24" s="14" t="n"/>
      <c r="N24" s="12">
        <f>IFERROR(RiskAssessment[[#This Row],[Likelihood]]*RiskAssessment[[#This Row],[Impact]],"Calculated")</f>
        <v/>
      </c>
      <c r="O24" s="12">
        <f>IF(N24="Calculated", "Calculated", IF(N24&gt;11, " HIGH",IF(N24&gt;4," MEDIUM"," LOW")))</f>
        <v/>
      </c>
      <c r="P24" s="14" t="n"/>
      <c r="Q24" s="14" t="n"/>
      <c r="R24" s="14" t="n"/>
      <c r="S24" s="118" t="n">
        <v>0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2">
        <f>IFERROR(RiskAssessment[[#This Row],[Post-Treatment Likelihood]]*RiskAssessment[[#This Row],[Post- Treatment Impact]],"Calculated")</f>
        <v/>
      </c>
      <c r="AC24" s="12">
        <f>IF(AB24="Calculated", "Calculated", IF(AB24&gt;11, " HIGH",IF(AB24&gt;4," MEDIUM"," LOW")))</f>
        <v/>
      </c>
      <c r="AD24" s="14" t="n"/>
    </row>
    <row r="25">
      <c r="B25" s="14" t="n">
        <v>12</v>
      </c>
      <c r="C25" s="14" t="n"/>
      <c r="D25" s="14" t="n"/>
      <c r="E25" s="80" t="n"/>
      <c r="F25" s="80" t="n"/>
      <c r="G25" s="14" t="n"/>
      <c r="H25" s="14" t="n"/>
      <c r="I25" s="14" t="n"/>
      <c r="J25" s="14" t="n"/>
      <c r="K25" s="14" t="n"/>
      <c r="L25" s="14" t="n"/>
      <c r="M25" s="14" t="n"/>
      <c r="N25" s="12">
        <f>IFERROR(RiskAssessment[[#This Row],[Likelihood]]*RiskAssessment[[#This Row],[Impact]],"Calculated")</f>
        <v/>
      </c>
      <c r="O25" s="12">
        <f>IF(N25="Calculated", "Calculated", IF(N25&gt;11, " HIGH",IF(N25&gt;4," MEDIUM"," LOW")))</f>
        <v/>
      </c>
      <c r="P25" s="14" t="n"/>
      <c r="Q25" s="14" t="n"/>
      <c r="R25" s="14" t="n"/>
      <c r="S25" s="118" t="n">
        <v>0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2">
        <f>IFERROR(RiskAssessment[[#This Row],[Post-Treatment Likelihood]]*RiskAssessment[[#This Row],[Post- Treatment Impact]],"Calculated")</f>
        <v/>
      </c>
      <c r="AC25" s="12">
        <f>IF(AB25="Calculated", "Calculated", IF(AB25&gt;11, " HIGH",IF(AB25&gt;4," MEDIUM"," LOW")))</f>
        <v/>
      </c>
      <c r="AD25" s="14" t="n"/>
    </row>
    <row r="26">
      <c r="B26" s="14" t="n">
        <v>13</v>
      </c>
      <c r="C26" s="14" t="n"/>
      <c r="D26" s="14" t="n"/>
      <c r="E26" s="80" t="n"/>
      <c r="F26" s="80" t="n"/>
      <c r="G26" s="14" t="n"/>
      <c r="H26" s="14" t="n"/>
      <c r="I26" s="14" t="n"/>
      <c r="J26" s="14" t="n"/>
      <c r="K26" s="14" t="n"/>
      <c r="L26" s="14" t="n"/>
      <c r="M26" s="14" t="n"/>
      <c r="N26" s="12">
        <f>IFERROR(RiskAssessment[[#This Row],[Likelihood]]*RiskAssessment[[#This Row],[Impact]],"Calculated")</f>
        <v/>
      </c>
      <c r="O26" s="12">
        <f>IF(N26="Calculated", "Calculated", IF(N26&gt;11, " HIGH",IF(N26&gt;4," MEDIUM"," LOW")))</f>
        <v/>
      </c>
      <c r="P26" s="14" t="n"/>
      <c r="Q26" s="14" t="n"/>
      <c r="R26" s="14" t="n"/>
      <c r="S26" s="118" t="n">
        <v>0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2">
        <f>IFERROR(RiskAssessment[[#This Row],[Post-Treatment Likelihood]]*RiskAssessment[[#This Row],[Post- Treatment Impact]],"Calculated")</f>
        <v/>
      </c>
      <c r="AC26" s="12">
        <f>IF(AB26="Calculated", "Calculated", IF(AB26&gt;11, " HIGH",IF(AB26&gt;4," MEDIUM"," LOW")))</f>
        <v/>
      </c>
      <c r="AD26" s="14" t="n"/>
    </row>
    <row r="27">
      <c r="B27" s="14" t="n">
        <v>14</v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2">
        <f>IFERROR(RiskAssessment[[#This Row],[Likelihood]]*RiskAssessment[[#This Row],[Impact]],"Calculated")</f>
        <v/>
      </c>
      <c r="O27" s="12">
        <f>IF(N27="Calculated", "Calculated", IF(N27&gt;11, " HIGH",IF(N27&gt;4," MEDIUM"," LOW")))</f>
        <v/>
      </c>
      <c r="P27" s="14" t="n"/>
      <c r="Q27" s="14" t="n"/>
      <c r="R27" s="14" t="n"/>
      <c r="S27" s="118" t="n">
        <v>0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2">
        <f>IFERROR(RiskAssessment[[#This Row],[Post-Treatment Likelihood]]*RiskAssessment[[#This Row],[Post- Treatment Impact]],"Calculated")</f>
        <v/>
      </c>
      <c r="AC27" s="12">
        <f>IF(AB27="Calculated", "Calculated", IF(AB27&gt;11, " HIGH",IF(AB27&gt;4," MEDIUM"," LOW")))</f>
        <v/>
      </c>
      <c r="AD27" s="14" t="n"/>
    </row>
    <row r="28">
      <c r="B28" s="14" t="n">
        <v>15</v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2">
        <f>IFERROR(RiskAssessment[[#This Row],[Likelihood]]*RiskAssessment[[#This Row],[Impact]],"Calculated")</f>
        <v/>
      </c>
      <c r="O28" s="12">
        <f>IF(N28="Calculated", "Calculated", IF(N28&gt;11, " HIGH",IF(N28&gt;4," MEDIUM"," LOW")))</f>
        <v/>
      </c>
      <c r="P28" s="14" t="n"/>
      <c r="Q28" s="14" t="n"/>
      <c r="R28" s="14" t="n"/>
      <c r="S28" s="118" t="n">
        <v>0</v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2">
        <f>IFERROR(RiskAssessment[[#This Row],[Post-Treatment Likelihood]]*RiskAssessment[[#This Row],[Post- Treatment Impact]],"Calculated")</f>
        <v/>
      </c>
      <c r="AC28" s="12">
        <f>IF(AB28="Calculated", "Calculated", IF(AB28&gt;11, " HIGH",IF(AB28&gt;4," MEDIUM"," LOW")))</f>
        <v/>
      </c>
      <c r="AD28" s="14" t="n"/>
    </row>
    <row r="29">
      <c r="B29" s="14" t="n">
        <v>16</v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2">
        <f>IFERROR(RiskAssessment[[#This Row],[Likelihood]]*RiskAssessment[[#This Row],[Impact]],"Calculated")</f>
        <v/>
      </c>
      <c r="O29" s="12">
        <f>IF(N29="Calculated", "Calculated", IF(N29&gt;11, " HIGH",IF(N29&gt;4," MEDIUM"," LOW")))</f>
        <v/>
      </c>
      <c r="P29" s="14" t="n"/>
      <c r="Q29" s="14" t="n"/>
      <c r="R29" s="14" t="n"/>
      <c r="S29" s="118" t="n">
        <v>0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2">
        <f>IFERROR(RiskAssessment[[#This Row],[Post-Treatment Likelihood]]*RiskAssessment[[#This Row],[Post- Treatment Impact]],"Calculated")</f>
        <v/>
      </c>
      <c r="AC29" s="12">
        <f>IF(AB29="Calculated", "Calculated", IF(AB29&gt;11, " HIGH",IF(AB29&gt;4," MEDIUM"," LOW")))</f>
        <v/>
      </c>
      <c r="AD29" s="14" t="n"/>
    </row>
    <row r="30">
      <c r="B30" s="14" t="n">
        <v>17</v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2">
        <f>IFERROR(RiskAssessment[[#This Row],[Likelihood]]*RiskAssessment[[#This Row],[Impact]],"Calculated")</f>
        <v/>
      </c>
      <c r="O30" s="12">
        <f>IF(N30="Calculated", "Calculated", IF(N30&gt;11, " HIGH",IF(N30&gt;4," MEDIUM"," LOW")))</f>
        <v/>
      </c>
      <c r="P30" s="14" t="n"/>
      <c r="Q30" s="14" t="n"/>
      <c r="R30" s="14" t="n"/>
      <c r="S30" s="118" t="n">
        <v>0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2">
        <f>IFERROR(RiskAssessment[[#This Row],[Post-Treatment Likelihood]]*RiskAssessment[[#This Row],[Post- Treatment Impact]],"Calculated")</f>
        <v/>
      </c>
      <c r="AC30" s="12">
        <f>IF(AB30="Calculated", "Calculated", IF(AB30&gt;11, " HIGH",IF(AB30&gt;4," MEDIUM"," LOW")))</f>
        <v/>
      </c>
      <c r="AD30" s="14" t="n"/>
    </row>
    <row r="31">
      <c r="B31" s="14" t="n">
        <v>18</v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2">
        <f>IFERROR(RiskAssessment[[#This Row],[Likelihood]]*RiskAssessment[[#This Row],[Impact]],"Calculated")</f>
        <v/>
      </c>
      <c r="O31" s="12">
        <f>IF(N31="Calculated", "Calculated", IF(N31&gt;11, " HIGH",IF(N31&gt;4," MEDIUM"," LOW")))</f>
        <v/>
      </c>
      <c r="P31" s="14" t="n"/>
      <c r="Q31" s="14" t="n"/>
      <c r="R31" s="14" t="n"/>
      <c r="S31" s="118" t="n">
        <v>0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2">
        <f>IFERROR(RiskAssessment[[#This Row],[Post-Treatment Likelihood]]*RiskAssessment[[#This Row],[Post- Treatment Impact]],"Calculated")</f>
        <v/>
      </c>
      <c r="AC31" s="12">
        <f>IF(AB31="Calculated", "Calculated", IF(AB31&gt;11, " HIGH",IF(AB31&gt;4," MEDIUM"," LOW")))</f>
        <v/>
      </c>
      <c r="AD31" s="14" t="n"/>
    </row>
    <row r="32">
      <c r="B32" s="14" t="n">
        <v>19</v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2">
        <f>IFERROR(RiskAssessment[[#This Row],[Likelihood]]*RiskAssessment[[#This Row],[Impact]],"Calculated")</f>
        <v/>
      </c>
      <c r="O32" s="12">
        <f>IF(N32="Calculated", "Calculated", IF(N32&gt;11, " HIGH",IF(N32&gt;4," MEDIUM"," LOW")))</f>
        <v/>
      </c>
      <c r="P32" s="14" t="n"/>
      <c r="Q32" s="14" t="n"/>
      <c r="R32" s="14" t="n"/>
      <c r="S32" s="118" t="n">
        <v>0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2">
        <f>IFERROR(RiskAssessment[[#This Row],[Post-Treatment Likelihood]]*RiskAssessment[[#This Row],[Post- Treatment Impact]],"Calculated")</f>
        <v/>
      </c>
      <c r="AC32" s="12">
        <f>IF(AB32="Calculated", "Calculated", IF(AB32&gt;11, " HIGH",IF(AB32&gt;4," MEDIUM"," LOW")))</f>
        <v/>
      </c>
      <c r="AD32" s="14" t="n"/>
    </row>
    <row r="33">
      <c r="B33" s="14" t="n">
        <v>20</v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2">
        <f>IFERROR(RiskAssessment[[#This Row],[Likelihood]]*RiskAssessment[[#This Row],[Impact]],"Calculated")</f>
        <v/>
      </c>
      <c r="O33" s="12">
        <f>IF(N33="Calculated", "Calculated", IF(N33&gt;11, " HIGH",IF(N33&gt;4," MEDIUM"," LOW")))</f>
        <v/>
      </c>
      <c r="P33" s="14" t="n"/>
      <c r="Q33" s="14" t="n"/>
      <c r="R33" s="14" t="n"/>
      <c r="S33" s="118" t="n">
        <v>0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2">
        <f>IFERROR(RiskAssessment[[#This Row],[Post-Treatment Likelihood]]*RiskAssessment[[#This Row],[Post- Treatment Impact]],"Calculated")</f>
        <v/>
      </c>
      <c r="AC33" s="12">
        <f>IF(AB33="Calculated", "Calculated", IF(AB33&gt;11, " HIGH",IF(AB33&gt;4," MEDIUM"," LOW")))</f>
        <v/>
      </c>
      <c r="AD33" s="14" t="n"/>
    </row>
  </sheetData>
  <mergeCells count="4">
    <mergeCell ref="P12:W12"/>
    <mergeCell ref="I12:O12"/>
    <mergeCell ref="X12:AD12"/>
    <mergeCell ref="B12:H12"/>
  </mergeCells>
  <conditionalFormatting sqref="O14:O33 AC14:AC33">
    <cfRule type="cellIs" priority="45" operator="equal" dxfId="159">
      <formula>" HIGH"</formula>
    </cfRule>
    <cfRule type="cellIs" priority="46" operator="equal" dxfId="158">
      <formula>" MEDIUM"</formula>
    </cfRule>
    <cfRule type="cellIs" priority="47" operator="equal" dxfId="157">
      <formula>" LOW"</formula>
    </cfRule>
  </conditionalFormatting>
  <conditionalFormatting sqref="Q14:AB33">
    <cfRule type="expression" priority="8" dxfId="156">
      <formula>$P14="Accept"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25" fitToHeight="0" horizontalDpi="360" verticalDpi="360"/>
  <headerFooter>
    <oddHeader/>
    <oddFooter>&amp;L&amp;D&amp;CPage &amp;P of &amp;N&amp;R[Insert classification]</oddFooter>
    <evenHeader/>
    <evenFooter/>
    <firstHeader/>
    <firstFooter/>
  </headerFooter>
  <colBreaks count="2" manualBreakCount="2">
    <brk id="15" min="0" max="1048575" man="1"/>
    <brk id="23" min="0" max="1048575" man="1"/>
  </colBreaks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72"/>
  <sheetViews>
    <sheetView showGridLines="0" zoomScaleNormal="100" workbookViewId="0">
      <selection activeCell="A1" sqref="A1"/>
    </sheetView>
  </sheetViews>
  <sheetFormatPr baseColWidth="8" defaultRowHeight="15"/>
  <cols>
    <col width="2.85546875" customWidth="1" min="1" max="1"/>
    <col width="7.7109375" customWidth="1" min="2" max="2"/>
    <col width="13.7109375" customWidth="1" min="3" max="8"/>
    <col width="8.7109375" customWidth="1" min="9" max="11"/>
    <col width="7.7109375" customWidth="1" min="12" max="12"/>
    <col width="8.7109375" customWidth="1" min="13" max="26"/>
  </cols>
  <sheetData>
    <row r="1"/>
    <row r="2"/>
    <row r="3"/>
    <row r="4"/>
    <row r="5"/>
    <row r="6"/>
    <row r="7"/>
    <row r="8" ht="21" customHeight="1">
      <c r="B8" s="27" t="inlineStr">
        <is>
          <t>ISO/IEC 27001 Asset-based risk assessment and treatment tool dashboard</t>
        </is>
      </c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</row>
    <row r="9" ht="15" customHeight="1">
      <c r="B9" s="9" t="inlineStr">
        <is>
          <t>To refresh chart data on the risk dashboard, click on “Refresh All” on the Data ribbon.</t>
        </is>
      </c>
    </row>
    <row r="10"/>
    <row r="11" ht="20.1" customHeight="1">
      <c r="B11" s="45" t="inlineStr">
        <is>
          <t>Pre-treatment assessment</t>
        </is>
      </c>
      <c r="C11" s="46" t="n"/>
      <c r="D11" s="46" t="n"/>
      <c r="E11" s="46" t="n"/>
      <c r="F11" s="46" t="n"/>
      <c r="G11" s="46" t="n"/>
      <c r="H11" s="46" t="n"/>
      <c r="I11" s="47" t="n"/>
      <c r="J11" s="47" t="n"/>
      <c r="K11" s="47" t="n"/>
      <c r="L11" s="47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E11" s="44" t="n"/>
      <c r="AF11" s="44" t="n"/>
      <c r="AG11" s="44" t="n"/>
      <c r="AH11" s="44" t="n"/>
      <c r="AI11" s="44" t="n"/>
    </row>
    <row r="12" ht="15" customHeight="1">
      <c r="I12" s="2" t="n"/>
      <c r="J12" s="2" t="n"/>
      <c r="K12" s="2" t="n"/>
      <c r="L12" s="2" t="n"/>
      <c r="M12" s="3" t="n"/>
      <c r="N12" s="3" t="n"/>
      <c r="O12" s="3" t="n"/>
    </row>
    <row r="13" ht="15" customHeight="1">
      <c r="I13" s="2" t="n"/>
      <c r="J13" s="2" t="n"/>
      <c r="K13" s="2" t="n"/>
      <c r="L13" s="2" t="n"/>
    </row>
    <row r="14" ht="15" customHeight="1">
      <c r="I14" s="2" t="n"/>
      <c r="J14" s="2" t="n"/>
      <c r="K14" s="2" t="n"/>
      <c r="L14" s="2" t="n"/>
    </row>
    <row r="15" ht="15" customHeight="1">
      <c r="I15" s="2" t="n"/>
      <c r="J15" s="2" t="n"/>
      <c r="K15" s="2" t="n"/>
      <c r="L15" s="2" t="n"/>
    </row>
    <row r="16" ht="15" customHeight="1">
      <c r="I16" s="2" t="n"/>
      <c r="J16" s="2" t="n"/>
      <c r="K16" s="2" t="n"/>
      <c r="L16" s="2" t="n"/>
    </row>
    <row r="17" ht="15" customHeight="1">
      <c r="I17" s="2" t="n"/>
      <c r="J17" s="2" t="n"/>
      <c r="K17" s="2" t="n"/>
      <c r="L17" s="2" t="n"/>
    </row>
    <row r="18" ht="15" customHeight="1">
      <c r="I18" s="2" t="n"/>
      <c r="J18" s="2" t="n"/>
      <c r="K18" s="2" t="n"/>
      <c r="L18" s="2" t="n"/>
    </row>
    <row r="19" ht="15" customHeight="1">
      <c r="I19" s="2" t="n"/>
      <c r="J19" s="2" t="n"/>
      <c r="K19" s="2" t="n"/>
      <c r="L19" s="2" t="n"/>
    </row>
    <row r="20" ht="15" customHeight="1">
      <c r="I20" s="2" t="n"/>
      <c r="J20" s="2" t="n"/>
      <c r="K20" s="2" t="n"/>
      <c r="L20" s="2" t="n"/>
    </row>
    <row r="21" ht="15" customHeight="1">
      <c r="I21" s="2" t="n"/>
      <c r="J21" s="2" t="n"/>
      <c r="K21" s="2" t="n"/>
      <c r="L21" s="2" t="n"/>
    </row>
    <row r="22" ht="15" customHeight="1">
      <c r="I22" s="2" t="n"/>
      <c r="J22" s="2" t="n"/>
      <c r="K22" s="2" t="n"/>
      <c r="L22" s="2" t="n"/>
    </row>
    <row r="23" ht="15" customHeight="1">
      <c r="I23" s="2" t="n"/>
      <c r="J23" s="2" t="n"/>
      <c r="K23" s="2" t="n"/>
      <c r="L23" s="2" t="n"/>
    </row>
    <row r="24" ht="15" customHeight="1">
      <c r="I24" s="2" t="n"/>
      <c r="J24" s="2" t="n"/>
      <c r="K24" s="2" t="n"/>
      <c r="L24" s="2" t="n"/>
    </row>
    <row r="25" ht="15" customHeight="1">
      <c r="I25" s="2" t="n"/>
      <c r="J25" s="2" t="n"/>
      <c r="K25" s="2" t="n"/>
      <c r="L25" s="2" t="n"/>
    </row>
    <row r="26" ht="15" customHeight="1">
      <c r="I26" s="2" t="n"/>
      <c r="J26" s="2" t="n"/>
      <c r="K26" s="2" t="n"/>
      <c r="L26" s="2" t="n"/>
    </row>
    <row r="27" ht="15" customHeight="1">
      <c r="I27" s="2" t="n"/>
      <c r="J27" s="2" t="n"/>
      <c r="K27" s="2" t="n"/>
      <c r="L27" s="2" t="n"/>
    </row>
    <row r="28" ht="15" customHeight="1">
      <c r="I28" s="2" t="n"/>
      <c r="J28" s="2" t="n"/>
      <c r="K28" s="2" t="n"/>
      <c r="L28" s="2" t="n"/>
    </row>
    <row r="29" ht="15" customHeight="1">
      <c r="I29" s="2" t="n"/>
      <c r="J29" s="2" t="n"/>
      <c r="K29" s="2" t="n"/>
      <c r="L29" s="2" t="n"/>
    </row>
    <row r="30" ht="15" customHeight="1">
      <c r="I30" s="2" t="n"/>
      <c r="J30" s="2" t="n"/>
      <c r="K30" s="2" t="n"/>
      <c r="L30" s="2" t="n"/>
    </row>
    <row r="31" ht="15" customHeight="1">
      <c r="I31" s="2" t="n"/>
      <c r="J31" s="2" t="n"/>
      <c r="K31" s="2" t="n"/>
      <c r="L31" s="2" t="n"/>
    </row>
    <row r="32" ht="15" customHeight="1">
      <c r="I32" s="2" t="n"/>
      <c r="J32" s="2" t="n"/>
      <c r="K32" s="2" t="n"/>
      <c r="L32" s="2" t="n"/>
    </row>
    <row r="33" ht="15" customHeight="1">
      <c r="I33" s="2" t="n"/>
      <c r="J33" s="2" t="n"/>
      <c r="K33" s="2" t="n"/>
      <c r="L33" s="2" t="n"/>
    </row>
    <row r="34" ht="18.75" customHeight="1">
      <c r="B34" s="45" t="inlineStr">
        <is>
          <t>Post-treatment assessment</t>
        </is>
      </c>
      <c r="C34" s="46" t="n"/>
      <c r="D34" s="46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</row>
    <row r="35" ht="15" customHeight="1">
      <c r="I35" s="2" t="n"/>
      <c r="J35" s="2" t="n"/>
      <c r="K35" s="2" t="n"/>
      <c r="L35" s="2" t="n"/>
    </row>
    <row r="36" ht="15" customHeight="1">
      <c r="I36" s="2" t="n"/>
      <c r="J36" s="2" t="n"/>
      <c r="K36" s="2" t="n"/>
      <c r="L36" s="2" t="n"/>
    </row>
    <row r="37" ht="15" customHeight="1">
      <c r="I37" s="2" t="n"/>
      <c r="J37" s="2" t="n"/>
      <c r="K37" s="2" t="n"/>
      <c r="L37" s="2" t="n"/>
    </row>
    <row r="38" ht="15" customHeight="1">
      <c r="I38" s="2" t="n"/>
      <c r="J38" s="2" t="n"/>
      <c r="K38" s="2" t="n"/>
      <c r="L38" s="2" t="n"/>
    </row>
    <row r="39" ht="15" customHeight="1">
      <c r="I39" s="2" t="n"/>
      <c r="J39" s="2" t="n"/>
      <c r="K39" s="2" t="n"/>
      <c r="L39" s="2" t="n"/>
    </row>
    <row r="40" ht="15" customHeight="1">
      <c r="I40" s="2" t="n"/>
      <c r="J40" s="2" t="n"/>
      <c r="K40" s="2" t="n"/>
      <c r="L40" s="2" t="n"/>
    </row>
    <row r="41" ht="15" customHeight="1">
      <c r="I41" s="2" t="n"/>
      <c r="J41" s="2" t="n"/>
      <c r="K41" s="2" t="n"/>
      <c r="L41" s="2" t="n"/>
    </row>
    <row r="42" ht="15" customHeight="1">
      <c r="I42" s="2" t="n"/>
      <c r="J42" s="2" t="n"/>
      <c r="K42" s="2" t="n"/>
      <c r="L42" s="2" t="n"/>
    </row>
    <row r="43" ht="15" customHeight="1">
      <c r="I43" s="2" t="n"/>
      <c r="J43" s="2" t="n"/>
      <c r="K43" s="2" t="n"/>
      <c r="L43" s="2" t="n"/>
    </row>
    <row r="44" ht="15" customHeight="1">
      <c r="I44" s="2" t="n"/>
      <c r="J44" s="2" t="n"/>
      <c r="K44" s="2" t="n"/>
      <c r="L44" s="2" t="n"/>
    </row>
    <row r="45" ht="15" customHeight="1">
      <c r="I45" s="2" t="n"/>
      <c r="J45" s="2" t="n"/>
      <c r="K45" s="2" t="n"/>
      <c r="L45" s="2" t="n"/>
    </row>
    <row r="46" ht="15" customHeight="1">
      <c r="I46" s="2" t="n"/>
      <c r="J46" s="2" t="n"/>
      <c r="K46" s="2" t="n"/>
      <c r="L46" s="2" t="n"/>
    </row>
    <row r="47" ht="15" customHeight="1">
      <c r="I47" s="2" t="n"/>
      <c r="J47" s="2" t="n"/>
      <c r="K47" s="2" t="n"/>
      <c r="L47" s="2" t="n"/>
    </row>
    <row r="48" ht="15" customHeight="1">
      <c r="I48" s="2" t="n"/>
      <c r="J48" s="2" t="n"/>
      <c r="K48" s="2" t="n"/>
      <c r="L48" s="2" t="n"/>
    </row>
    <row r="49" ht="15" customHeight="1">
      <c r="I49" s="2" t="n"/>
      <c r="J49" s="2" t="n"/>
      <c r="K49" s="2" t="n"/>
      <c r="L49" s="2" t="n"/>
    </row>
    <row r="50" ht="15" customHeight="1">
      <c r="I50" s="2" t="n"/>
      <c r="J50" s="2" t="n"/>
      <c r="K50" s="2" t="n"/>
      <c r="L50" s="2" t="n"/>
    </row>
    <row r="51" ht="15" customHeight="1">
      <c r="I51" s="2" t="n"/>
      <c r="J51" s="2" t="n"/>
      <c r="K51" s="2" t="n"/>
      <c r="L51" s="2" t="n"/>
    </row>
    <row r="52" ht="15" customHeight="1">
      <c r="I52" s="2" t="n"/>
      <c r="J52" s="2" t="n"/>
      <c r="K52" s="2" t="n"/>
      <c r="L52" s="2" t="n"/>
    </row>
    <row r="53" ht="15" customHeight="1">
      <c r="I53" s="2" t="n"/>
      <c r="J53" s="2" t="n"/>
      <c r="K53" s="2" t="n"/>
      <c r="L53" s="2" t="n"/>
    </row>
    <row r="54" ht="15" customHeight="1">
      <c r="I54" s="2" t="n"/>
      <c r="J54" s="2" t="n"/>
      <c r="K54" s="2" t="n"/>
      <c r="L54" s="2" t="n"/>
    </row>
    <row r="55" ht="15" customHeight="1">
      <c r="B55" s="48" t="n"/>
      <c r="I55" s="2" t="n"/>
      <c r="J55" s="2" t="n"/>
      <c r="K55" s="2" t="n"/>
      <c r="L55" s="2" t="n"/>
    </row>
    <row r="56"/>
    <row r="57" ht="18.75" customHeight="1">
      <c r="B57" s="49" t="inlineStr">
        <is>
          <t>Classification of risk level</t>
        </is>
      </c>
      <c r="C57" s="43" t="n"/>
      <c r="D57" s="43" t="n"/>
      <c r="E57" s="43" t="n"/>
      <c r="F57" s="43" t="n"/>
      <c r="G57" s="43" t="n"/>
      <c r="H57" s="43" t="n"/>
      <c r="I57" s="46" t="n"/>
      <c r="J57" s="46" t="n"/>
      <c r="K57" s="46" t="n"/>
      <c r="M57" s="45" t="inlineStr">
        <is>
          <t>Risk profile diagram</t>
        </is>
      </c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8.75" customHeight="1">
      <c r="B58" s="50" t="n"/>
      <c r="C58" s="44" t="n"/>
      <c r="D58" s="44" t="n"/>
      <c r="E58" s="44" t="n"/>
      <c r="F58" s="44" t="n"/>
      <c r="G58" s="44" t="n"/>
      <c r="H58" s="44" t="n"/>
    </row>
    <row r="59">
      <c r="B59" s="11" t="inlineStr">
        <is>
          <t>The chart below shows the rating scheme used to determine risk level based on a combination of likelihood and impact.</t>
        </is>
      </c>
      <c r="M59" s="11" t="inlineStr">
        <is>
          <t>The charts below show the spread of risk severities before and after risk treatment.</t>
        </is>
      </c>
    </row>
    <row r="60">
      <c r="B60" s="112" t="inlineStr">
        <is>
          <t>LIKELIHOOD: What are the chances of the risk event happening?</t>
        </is>
      </c>
      <c r="G60" s="51" t="n"/>
      <c r="H60" s="51" t="n"/>
    </row>
    <row r="61" ht="38.1" customHeight="1" thickBot="1">
      <c r="C61" s="113" t="inlineStr">
        <is>
          <t>IMPACT: How major could the consequences be if the risk event happened?</t>
        </is>
      </c>
      <c r="D61" s="119" t="n"/>
      <c r="E61" s="119" t="n"/>
      <c r="F61" s="119" t="n"/>
      <c r="G61" s="119" t="n"/>
      <c r="H61" s="119" t="n"/>
      <c r="M61" s="10" t="inlineStr">
        <is>
          <t>Pre-treatment</t>
        </is>
      </c>
      <c r="U61" s="10" t="inlineStr">
        <is>
          <t>Post-treatment</t>
        </is>
      </c>
    </row>
    <row r="62" ht="48" customHeight="1" thickBot="1" thickTop="1">
      <c r="C62" s="52" t="n"/>
      <c r="D62" s="53" t="inlineStr">
        <is>
          <t>INSIGNIFICANT
1</t>
        </is>
      </c>
      <c r="E62" s="53" t="inlineStr">
        <is>
          <t>MINOR
2</t>
        </is>
      </c>
      <c r="F62" s="53" t="inlineStr">
        <is>
          <t>SIGNIFICANT
3</t>
        </is>
      </c>
      <c r="G62" s="53" t="inlineStr">
        <is>
          <t>MAJOR
4</t>
        </is>
      </c>
      <c r="H62" s="53" t="inlineStr">
        <is>
          <t>SEVERE
5</t>
        </is>
      </c>
      <c r="L62" s="114" t="inlineStr">
        <is>
          <t>Risk Likelihood</t>
        </is>
      </c>
      <c r="M62" s="54" t="n">
        <v>5</v>
      </c>
      <c r="N62" s="55">
        <f t="array" ref="N62">SUMPRODUCT((RiskAssessment[Likelihood]=$M62)*(RiskAssessment[Impact]=N$67))</f>
        <v/>
      </c>
      <c r="O62" s="55">
        <f t="array" ref="O62">SUMPRODUCT((RiskAssessment[Likelihood]=$M62)*(RiskAssessment[Impact]=O$67))</f>
        <v/>
      </c>
      <c r="P62" s="56">
        <f t="array" ref="P62">SUMPRODUCT((RiskAssessment[Likelihood]=$M62)*(RiskAssessment[Impact]=P$67))</f>
        <v/>
      </c>
      <c r="Q62" s="56">
        <f t="array" ref="Q62">SUMPRODUCT((RiskAssessment[Likelihood]=$M62)*(RiskAssessment[Impact]=Q$67))</f>
        <v/>
      </c>
      <c r="R62" s="56">
        <f t="array" ref="R62">SUMPRODUCT((RiskAssessment[Likelihood]=$M62)*(RiskAssessment[Impact]=R$67))</f>
        <v/>
      </c>
      <c r="S62" s="57" t="n"/>
      <c r="T62" s="114" t="inlineStr">
        <is>
          <t>Risk Likelihood</t>
        </is>
      </c>
      <c r="U62" s="54" t="n">
        <v>5</v>
      </c>
      <c r="V62" s="55">
        <f t="array" ref="V62">SUMPRODUCT((RiskAssessment[Post-Treatment Likelihood]=$U62)*(RiskAssessment[Post- Treatment Impact]=V$67))</f>
        <v/>
      </c>
      <c r="W62" s="55">
        <f t="array" ref="W62">SUMPRODUCT((RiskAssessment[Post-Treatment Likelihood]=$U62)*(RiskAssessment[Post- Treatment Impact]=W$67))</f>
        <v/>
      </c>
      <c r="X62" s="56">
        <f t="array" ref="X62">SUMPRODUCT((RiskAssessment[Post-Treatment Likelihood]=$U62)*(RiskAssessment[Post- Treatment Impact]=X$67))</f>
        <v/>
      </c>
      <c r="Y62" s="56">
        <f t="array" ref="Y62">SUMPRODUCT((RiskAssessment[Post-Treatment Likelihood]=$U62)*(RiskAssessment[Post- Treatment Impact]=Y$67))</f>
        <v/>
      </c>
      <c r="Z62" s="56">
        <f t="array" ref="Z62">SUMPRODUCT((RiskAssessment[Post-Treatment Likelihood]=$U62)*(RiskAssessment[Post- Treatment Impact]=Z$67))</f>
        <v/>
      </c>
    </row>
    <row r="63" ht="48" customHeight="1" thickBot="1" thickTop="1">
      <c r="C63" s="53" t="inlineStr">
        <is>
          <t>ALMOST
CERTAIN
5</t>
        </is>
      </c>
      <c r="D63" s="58" t="inlineStr">
        <is>
          <t>MEDIUM
5</t>
        </is>
      </c>
      <c r="E63" s="58" t="inlineStr">
        <is>
          <t>MEDIUM
10</t>
        </is>
      </c>
      <c r="F63" s="59" t="inlineStr">
        <is>
          <t>HIGH
15</t>
        </is>
      </c>
      <c r="G63" s="59" t="inlineStr">
        <is>
          <t>HIGH
20</t>
        </is>
      </c>
      <c r="H63" s="59" t="inlineStr">
        <is>
          <t>HIGH
25</t>
        </is>
      </c>
      <c r="M63" s="60" t="n">
        <v>4</v>
      </c>
      <c r="N63" s="61">
        <f t="array" ref="N63">SUMPRODUCT((RiskAssessment[Likelihood]=$M63)*(RiskAssessment[Impact]=N$67))</f>
        <v/>
      </c>
      <c r="O63" s="55">
        <f t="array" ref="O63">SUMPRODUCT((RiskAssessment[Likelihood]=$M63)*(RiskAssessment[Impact]=O$67))</f>
        <v/>
      </c>
      <c r="P63" s="56">
        <f t="array" ref="P63">SUMPRODUCT((RiskAssessment[Likelihood]=$M63)*(RiskAssessment[Impact]=P$67))</f>
        <v/>
      </c>
      <c r="Q63" s="56">
        <f t="array" ref="Q63">SUMPRODUCT((RiskAssessment[Likelihood]=$M63)*(RiskAssessment[Impact]=Q$67))</f>
        <v/>
      </c>
      <c r="R63" s="56">
        <f t="array" ref="R63">SUMPRODUCT((RiskAssessment[Likelihood]=$M63)*(RiskAssessment[Impact]=R$67))</f>
        <v/>
      </c>
      <c r="S63" s="57" t="n"/>
      <c r="U63" s="60" t="n">
        <v>4</v>
      </c>
      <c r="V63" s="61">
        <f t="array" ref="V63">SUMPRODUCT((RiskAssessment[Post-Treatment Likelihood]=$U63)*(RiskAssessment[Post- Treatment Impact]=V$67))</f>
        <v/>
      </c>
      <c r="W63" s="55">
        <f t="array" ref="W63">SUMPRODUCT((RiskAssessment[Post-Treatment Likelihood]=$U63)*(RiskAssessment[Post- Treatment Impact]=W$67))</f>
        <v/>
      </c>
      <c r="X63" s="56">
        <f t="array" ref="X63">SUMPRODUCT((RiskAssessment[Post-Treatment Likelihood]=$U63)*(RiskAssessment[Post- Treatment Impact]=X$67))</f>
        <v/>
      </c>
      <c r="Y63" s="56">
        <f t="array" ref="Y63">SUMPRODUCT((RiskAssessment[Post-Treatment Likelihood]=$U63)*(RiskAssessment[Post- Treatment Impact]=Y$67))</f>
        <v/>
      </c>
      <c r="Z63" s="56">
        <f t="array" ref="Z63">SUMPRODUCT((RiskAssessment[Post-Treatment Likelihood]=$U63)*(RiskAssessment[Post- Treatment Impact]=Z$67))</f>
        <v/>
      </c>
    </row>
    <row r="64" ht="48" customHeight="1" thickBot="1" thickTop="1">
      <c r="C64" s="53" t="inlineStr">
        <is>
          <t>LIKELY
4</t>
        </is>
      </c>
      <c r="D64" s="62" t="inlineStr">
        <is>
          <t>LOW
4</t>
        </is>
      </c>
      <c r="E64" s="58" t="inlineStr">
        <is>
          <t>MEDIUM
8</t>
        </is>
      </c>
      <c r="F64" s="59" t="inlineStr">
        <is>
          <t>HIGH
12</t>
        </is>
      </c>
      <c r="G64" s="59" t="inlineStr">
        <is>
          <t>HIGH
16</t>
        </is>
      </c>
      <c r="H64" s="59" t="inlineStr">
        <is>
          <t>HIGH
20</t>
        </is>
      </c>
      <c r="M64" s="60" t="n">
        <v>3</v>
      </c>
      <c r="N64" s="61">
        <f t="array" ref="N64">SUMPRODUCT((RiskAssessment[Likelihood]=$M64)*(RiskAssessment[Impact]=N$67))</f>
        <v/>
      </c>
      <c r="O64" s="55">
        <f t="array" ref="O64">SUMPRODUCT((RiskAssessment[Likelihood]=$M64)*(RiskAssessment[Impact]=O$67))</f>
        <v/>
      </c>
      <c r="P64" s="55">
        <f t="array" ref="P64">SUMPRODUCT((RiskAssessment[Likelihood]=$M64)*(RiskAssessment[Impact]=P$67))</f>
        <v/>
      </c>
      <c r="Q64" s="56">
        <f t="array" ref="Q64">SUMPRODUCT((RiskAssessment[Likelihood]=$M64)*(RiskAssessment[Impact]=Q$67))</f>
        <v/>
      </c>
      <c r="R64" s="56">
        <f t="array" ref="R64">SUMPRODUCT((RiskAssessment[Likelihood]=$M64)*(RiskAssessment[Impact]=R$67))</f>
        <v/>
      </c>
      <c r="S64" s="57" t="n"/>
      <c r="U64" s="60" t="n">
        <v>3</v>
      </c>
      <c r="V64" s="61">
        <f t="array" ref="V64">SUMPRODUCT((RiskAssessment[Post-Treatment Likelihood]=$U64)*(RiskAssessment[Post- Treatment Impact]=V$67))</f>
        <v/>
      </c>
      <c r="W64" s="55">
        <f t="array" ref="W64">SUMPRODUCT((RiskAssessment[Post-Treatment Likelihood]=$U64)*(RiskAssessment[Post- Treatment Impact]=W$67))</f>
        <v/>
      </c>
      <c r="X64" s="55">
        <f t="array" ref="X64">SUMPRODUCT((RiskAssessment[Post-Treatment Likelihood]=$U64)*(RiskAssessment[Post- Treatment Impact]=X$67))</f>
        <v/>
      </c>
      <c r="Y64" s="56">
        <f t="array" ref="Y64">SUMPRODUCT((RiskAssessment[Post-Treatment Likelihood]=$U64)*(RiskAssessment[Post- Treatment Impact]=Y$67))</f>
        <v/>
      </c>
      <c r="Z64" s="56">
        <f t="array" ref="Z64">SUMPRODUCT((RiskAssessment[Post-Treatment Likelihood]=$U64)*(RiskAssessment[Post- Treatment Impact]=Z$67))</f>
        <v/>
      </c>
    </row>
    <row r="65" ht="48" customHeight="1" thickBot="1" thickTop="1">
      <c r="C65" s="53" t="inlineStr">
        <is>
          <t>MODERATE
3</t>
        </is>
      </c>
      <c r="D65" s="62" t="inlineStr">
        <is>
          <t>LOW
3</t>
        </is>
      </c>
      <c r="E65" s="58" t="inlineStr">
        <is>
          <t>MEDIUM
6</t>
        </is>
      </c>
      <c r="F65" s="58" t="inlineStr">
        <is>
          <t>MEDIUM
9</t>
        </is>
      </c>
      <c r="G65" s="59" t="inlineStr">
        <is>
          <t>HIGH
12</t>
        </is>
      </c>
      <c r="H65" s="59" t="inlineStr">
        <is>
          <t>HIGH
15</t>
        </is>
      </c>
      <c r="M65" s="60" t="n">
        <v>2</v>
      </c>
      <c r="N65" s="61">
        <f t="array" ref="N65">SUMPRODUCT((RiskAssessment[Likelihood]=$M65)*(RiskAssessment[Impact]=N$67))</f>
        <v/>
      </c>
      <c r="O65" s="61">
        <f t="array" ref="O65">SUMPRODUCT((RiskAssessment[Likelihood]=$M65)*(RiskAssessment[Impact]=O$67))</f>
        <v/>
      </c>
      <c r="P65" s="55">
        <f t="array" ref="P65">SUMPRODUCT((RiskAssessment[Likelihood]=$M65)*(RiskAssessment[Impact]=P$67))</f>
        <v/>
      </c>
      <c r="Q65" s="55">
        <f t="array" ref="Q65">SUMPRODUCT((RiskAssessment[Likelihood]=$M65)*(RiskAssessment[Impact]=Q$67))</f>
        <v/>
      </c>
      <c r="R65" s="55">
        <f t="array" ref="R65">SUMPRODUCT((RiskAssessment[Likelihood]=$M65)*(RiskAssessment[Impact]=R$67))</f>
        <v/>
      </c>
      <c r="S65" s="57" t="n"/>
      <c r="U65" s="60" t="n">
        <v>2</v>
      </c>
      <c r="V65" s="61">
        <f t="array" ref="V65">SUMPRODUCT((RiskAssessment[Post-Treatment Likelihood]=$U65)*(RiskAssessment[Post- Treatment Impact]=V$67))</f>
        <v/>
      </c>
      <c r="W65" s="61">
        <f t="array" ref="W65">SUMPRODUCT((RiskAssessment[Post-Treatment Likelihood]=$U65)*(RiskAssessment[Post- Treatment Impact]=W$67))</f>
        <v/>
      </c>
      <c r="X65" s="55">
        <f t="array" ref="X65">SUMPRODUCT((RiskAssessment[Post-Treatment Likelihood]=$U65)*(RiskAssessment[Post- Treatment Impact]=X$67))</f>
        <v/>
      </c>
      <c r="Y65" s="55">
        <f t="array" ref="Y65">SUMPRODUCT((RiskAssessment[Post-Treatment Likelihood]=$U65)*(RiskAssessment[Post- Treatment Impact]=Y$67))</f>
        <v/>
      </c>
      <c r="Z65" s="55">
        <f t="array" ref="Z65">SUMPRODUCT((RiskAssessment[Post-Treatment Likelihood]=$U65)*(RiskAssessment[Post- Treatment Impact]=Z$67))</f>
        <v/>
      </c>
    </row>
    <row r="66" ht="48" customHeight="1" thickBot="1" thickTop="1">
      <c r="C66" s="53" t="inlineStr">
        <is>
          <t>UNLIKELY
2</t>
        </is>
      </c>
      <c r="D66" s="62" t="inlineStr">
        <is>
          <t>LOW
2</t>
        </is>
      </c>
      <c r="E66" s="62" t="inlineStr">
        <is>
          <t>LOW
4</t>
        </is>
      </c>
      <c r="F66" s="58" t="inlineStr">
        <is>
          <t>MEDIUM
6</t>
        </is>
      </c>
      <c r="G66" s="58" t="inlineStr">
        <is>
          <t>MEDIUM
8</t>
        </is>
      </c>
      <c r="H66" s="58" t="inlineStr">
        <is>
          <t>MEDIUM
10</t>
        </is>
      </c>
      <c r="M66" s="60" t="n">
        <v>1</v>
      </c>
      <c r="N66" s="61">
        <f t="array" ref="N66">SUMPRODUCT((RiskAssessment[Likelihood]=$M66)*(RiskAssessment[Impact]=N$67))</f>
        <v/>
      </c>
      <c r="O66" s="61">
        <f t="array" ref="O66">SUMPRODUCT((RiskAssessment[Likelihood]=$M66)*(RiskAssessment[Impact]=O$67))</f>
        <v/>
      </c>
      <c r="P66" s="61">
        <f t="array" ref="P66">SUMPRODUCT((RiskAssessment[Likelihood]=$M66)*(RiskAssessment[Impact]=P$67))</f>
        <v/>
      </c>
      <c r="Q66" s="61">
        <f t="array" ref="Q66">SUMPRODUCT((RiskAssessment[Likelihood]=$M66)*(RiskAssessment[Impact]=Q$67))</f>
        <v/>
      </c>
      <c r="R66" s="55">
        <f t="array" ref="R66">SUMPRODUCT((RiskAssessment[Likelihood]=$M66)*(RiskAssessment[Impact]=R$67))</f>
        <v/>
      </c>
      <c r="S66" s="57" t="n"/>
      <c r="U66" s="60" t="n">
        <v>1</v>
      </c>
      <c r="V66" s="61">
        <f t="array" ref="V66">SUMPRODUCT((RiskAssessment[Post-Treatment Likelihood]=$U66)*(RiskAssessment[Post- Treatment Impact]=V$67))</f>
        <v/>
      </c>
      <c r="W66" s="61">
        <f t="array" ref="W66">SUMPRODUCT((RiskAssessment[Post-Treatment Likelihood]=$U66)*(RiskAssessment[Post- Treatment Impact]=W$67))</f>
        <v/>
      </c>
      <c r="X66" s="61">
        <f t="array" ref="X66">SUMPRODUCT((RiskAssessment[Post-Treatment Likelihood]=$U66)*(RiskAssessment[Post- Treatment Impact]=X$67))</f>
        <v/>
      </c>
      <c r="Y66" s="61">
        <f t="array" ref="Y66">SUMPRODUCT((RiskAssessment[Post-Treatment Likelihood]=$U66)*(RiskAssessment[Post- Treatment Impact]=Y$67))</f>
        <v/>
      </c>
      <c r="Z66" s="55">
        <f t="array" ref="Z66">SUMPRODUCT((RiskAssessment[Post-Treatment Likelihood]=$U66)*(RiskAssessment[Post- Treatment Impact]=Z$67))</f>
        <v/>
      </c>
    </row>
    <row r="67" ht="48" customHeight="1" thickBot="1" thickTop="1">
      <c r="C67" s="53" t="inlineStr">
        <is>
          <t>RARE
1</t>
        </is>
      </c>
      <c r="D67" s="62" t="inlineStr">
        <is>
          <t>LOW
1</t>
        </is>
      </c>
      <c r="E67" s="62" t="inlineStr">
        <is>
          <t>LOW
2</t>
        </is>
      </c>
      <c r="F67" s="62" t="inlineStr">
        <is>
          <t>LOW
3</t>
        </is>
      </c>
      <c r="G67" s="62" t="inlineStr">
        <is>
          <t>LOW
4</t>
        </is>
      </c>
      <c r="H67" s="58" t="inlineStr">
        <is>
          <t>MEDIUM
5</t>
        </is>
      </c>
      <c r="M67" s="63" t="n"/>
      <c r="N67" s="64" t="n">
        <v>1</v>
      </c>
      <c r="O67" s="64" t="n">
        <v>2</v>
      </c>
      <c r="P67" s="64" t="n">
        <v>3</v>
      </c>
      <c r="Q67" s="64" t="n">
        <v>4</v>
      </c>
      <c r="R67" s="65" t="n">
        <v>5</v>
      </c>
      <c r="S67" s="57" t="n"/>
      <c r="U67" s="63" t="n"/>
      <c r="V67" s="64" t="n">
        <v>1</v>
      </c>
      <c r="W67" s="64" t="n">
        <v>2</v>
      </c>
      <c r="X67" s="64" t="n">
        <v>3</v>
      </c>
      <c r="Y67" s="64" t="n">
        <v>4</v>
      </c>
      <c r="Z67" s="65" t="n">
        <v>5</v>
      </c>
    </row>
    <row r="68" ht="32.25" customHeight="1" thickTop="1">
      <c r="M68" s="111" t="inlineStr">
        <is>
          <t>Risk impact</t>
        </is>
      </c>
      <c r="S68" s="111" t="n"/>
      <c r="U68" s="111" t="inlineStr">
        <is>
          <t>Risk impact</t>
        </is>
      </c>
    </row>
    <row r="69"/>
    <row r="70" ht="15" customHeight="1">
      <c r="B70" s="48" t="n"/>
      <c r="I70" s="2" t="n"/>
      <c r="J70" s="2" t="n"/>
      <c r="K70" s="2" t="n"/>
      <c r="L70" s="2" t="n"/>
    </row>
    <row r="71" ht="15" customHeight="1">
      <c r="B71" s="48" t="n"/>
      <c r="I71" s="3" t="n"/>
      <c r="J71" s="3" t="n"/>
      <c r="K71" s="3" t="n"/>
      <c r="L71" s="3" t="n"/>
      <c r="M71" s="3" t="n"/>
      <c r="N71" s="3" t="n"/>
      <c r="O71" s="3" t="n"/>
    </row>
    <row r="72" ht="18.75" customHeight="1">
      <c r="B72" s="45" t="inlineStr">
        <is>
          <t>Treatment plan</t>
        </is>
      </c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6" t="n"/>
      <c r="X72" s="46" t="n"/>
      <c r="Y72" s="46" t="n"/>
      <c r="Z72" s="46" t="n"/>
    </row>
  </sheetData>
  <mergeCells count="6">
    <mergeCell ref="U68:Z68"/>
    <mergeCell ref="M68:R68"/>
    <mergeCell ref="T62:T67"/>
    <mergeCell ref="B60:B67"/>
    <mergeCell ref="C61:H61"/>
    <mergeCell ref="L62:L67"/>
  </mergeCells>
  <pageMargins left="0.2362204724409449" right="0.2362204724409449" top="0.3937007874015748" bottom="0.3937007874015748" header="0.1968503937007874" footer="0.1968503937007874"/>
  <pageSetup orientation="landscape" paperSize="9" scale="34" horizontalDpi="360" verticalDpi="36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11.7109375" bestFit="1" customWidth="1" min="2" max="2"/>
    <col width="14.28515625" bestFit="1" customWidth="1" min="3" max="3"/>
  </cols>
  <sheetData>
    <row r="1"/>
    <row r="2"/>
    <row r="3"/>
    <row r="4" ht="18.75" customHeight="1">
      <c r="B4" s="23" t="inlineStr">
        <is>
          <t>Number of Pre-treatment risks by risk level</t>
        </is>
      </c>
    </row>
    <row r="5" ht="18.75" customHeight="1">
      <c r="B5" s="23" t="n"/>
    </row>
    <row r="6">
      <c r="B6" s="72" t="inlineStr">
        <is>
          <t>Risk level</t>
        </is>
      </c>
      <c r="C6" s="72" t="inlineStr">
        <is>
          <t>Pre-treatment</t>
        </is>
      </c>
    </row>
    <row r="7">
      <c r="B7" t="inlineStr">
        <is>
          <t xml:space="preserve"> Low</t>
        </is>
      </c>
      <c r="C7">
        <f>COUNTIF(RiskAssessment[Risk Level],PreTreatmentRisksByRiskLevel[[#This Row],[Risk level]])</f>
        <v/>
      </c>
    </row>
    <row r="8">
      <c r="B8" t="inlineStr">
        <is>
          <t xml:space="preserve"> Medium</t>
        </is>
      </c>
      <c r="C8">
        <f>COUNTIF(RiskAssessment[Risk Level],PreTreatmentRisksByRiskLevel[[#This Row],[Risk level]])</f>
        <v/>
      </c>
    </row>
    <row r="9">
      <c r="B9" t="inlineStr">
        <is>
          <t xml:space="preserve"> High</t>
        </is>
      </c>
      <c r="C9">
        <f>COUNTIF(RiskAssessment[Risk Level],PreTreatmentRisksByRiskLevel[[#This Row],[Risk level]])</f>
        <v/>
      </c>
    </row>
    <row r="10" ht="15" customHeight="1">
      <c r="B10" s="23" t="n"/>
    </row>
    <row r="11" ht="15" customHeight="1">
      <c r="B11" s="23" t="n"/>
    </row>
    <row r="12" ht="15" customHeight="1">
      <c r="B12" s="43" t="inlineStr">
        <is>
          <t>Risk level</t>
        </is>
      </c>
      <c r="C12" s="43" t="inlineStr">
        <is>
          <t xml:space="preserve">Pre-treatment </t>
        </is>
      </c>
    </row>
    <row r="13">
      <c r="B13" t="inlineStr">
        <is>
          <t xml:space="preserve"> Low</t>
        </is>
      </c>
      <c r="C13" t="n">
        <v>0</v>
      </c>
    </row>
    <row r="14">
      <c r="B14" t="inlineStr">
        <is>
          <t xml:space="preserve"> Medium</t>
        </is>
      </c>
      <c r="C14" t="n">
        <v>0</v>
      </c>
    </row>
    <row r="15">
      <c r="B15" t="inlineStr">
        <is>
          <t xml:space="preserve"> High</t>
        </is>
      </c>
      <c r="C15" t="n">
        <v>0</v>
      </c>
    </row>
  </sheetData>
  <pageMargins left="0.7" right="0.7" top="0.75" bottom="0.75" header="0.3" footer="0.3"/>
  <pageSetup orientation="portrait" paperSize="9" horizontalDpi="360" verticalDpi="36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21" bestFit="1" customWidth="1" min="2" max="2"/>
    <col width="13.28515625" bestFit="1" customWidth="1" min="3" max="3"/>
    <col width="10.140625" bestFit="1" customWidth="1" min="4" max="4"/>
  </cols>
  <sheetData>
    <row r="1"/>
    <row r="2"/>
    <row r="3"/>
    <row r="4" ht="18.75" customHeight="1">
      <c r="B4" s="23" t="inlineStr">
        <is>
          <t>Pre-treatment risk levels by risk owner</t>
        </is>
      </c>
    </row>
    <row r="5"/>
    <row r="6">
      <c r="B6" s="43" t="inlineStr">
        <is>
          <t>Risk Level</t>
        </is>
      </c>
      <c r="C6" s="43" t="inlineStr">
        <is>
          <t>Risk Owner</t>
        </is>
      </c>
      <c r="D6" s="43" t="inlineStr">
        <is>
          <t xml:space="preserve">Risk Level </t>
        </is>
      </c>
    </row>
    <row r="7">
      <c r="B7" t="inlineStr">
        <is>
          <t>Calculated</t>
        </is>
      </c>
      <c r="C7" t="inlineStr">
        <is>
          <t>(blank)</t>
        </is>
      </c>
      <c r="D7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0"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11.7109375" bestFit="1" customWidth="1" min="2" max="2"/>
    <col width="15.140625" bestFit="1" customWidth="1" min="3" max="3"/>
  </cols>
  <sheetData>
    <row r="1"/>
    <row r="2"/>
    <row r="3"/>
    <row r="4" ht="18.75" customHeight="1">
      <c r="B4" s="23" t="inlineStr">
        <is>
          <t>Number of Post-mitigation risks by risk level</t>
        </is>
      </c>
    </row>
    <row r="5"/>
    <row r="6">
      <c r="B6" s="72" t="inlineStr">
        <is>
          <t>Risk level</t>
        </is>
      </c>
      <c r="C6" s="72" t="inlineStr">
        <is>
          <t>Post-treatment</t>
        </is>
      </c>
    </row>
    <row r="7">
      <c r="B7" t="inlineStr">
        <is>
          <t xml:space="preserve"> Low</t>
        </is>
      </c>
      <c r="C7">
        <f>COUNTIF(RiskAssessment[Post-Treatment Risk Level],RisksByRiskLevelPreandPostTreatment10[[#This Row],[Risk level]])</f>
        <v/>
      </c>
    </row>
    <row r="8">
      <c r="B8" t="inlineStr">
        <is>
          <t xml:space="preserve"> Medium</t>
        </is>
      </c>
      <c r="C8">
        <f>COUNTIF(RiskAssessment[Post-Treatment Risk Level],RisksByRiskLevelPreandPostTreatment10[[#This Row],[Risk level]])</f>
        <v/>
      </c>
    </row>
    <row r="9">
      <c r="B9" t="inlineStr">
        <is>
          <t xml:space="preserve"> High</t>
        </is>
      </c>
      <c r="C9">
        <f>COUNTIF(RiskAssessment[Post-Treatment Risk Level],RisksByRiskLevelPreandPostTreatment10[[#This Row],[Risk level]])</f>
        <v/>
      </c>
    </row>
    <row r="10" ht="18.75" customHeight="1">
      <c r="B10" s="23" t="n"/>
    </row>
    <row r="11"/>
    <row r="12">
      <c r="B12" s="43" t="inlineStr">
        <is>
          <t>Risk level</t>
        </is>
      </c>
      <c r="C12" s="43" t="inlineStr">
        <is>
          <t xml:space="preserve">Post-treatment </t>
        </is>
      </c>
    </row>
    <row r="13">
      <c r="B13" t="inlineStr">
        <is>
          <t xml:space="preserve"> Low</t>
        </is>
      </c>
      <c r="C13" t="n">
        <v>0</v>
      </c>
    </row>
    <row r="14">
      <c r="B14" t="inlineStr">
        <is>
          <t xml:space="preserve"> Medium</t>
        </is>
      </c>
      <c r="C14" t="n">
        <v>0</v>
      </c>
    </row>
    <row r="15">
      <c r="B15" t="inlineStr">
        <is>
          <t xml:space="preserve"> High</t>
        </is>
      </c>
      <c r="C1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11"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11.7109375" bestFit="1" customWidth="1" min="2" max="2"/>
    <col width="14.28515625" bestFit="1" customWidth="1" min="3" max="3"/>
    <col width="15.140625" bestFit="1" customWidth="1" min="4" max="4"/>
  </cols>
  <sheetData>
    <row r="1"/>
    <row r="2"/>
    <row r="3"/>
    <row r="4" ht="18.75" customHeight="1">
      <c r="B4" s="73" t="inlineStr">
        <is>
          <t>Number of risks by risk level pre and post treatment</t>
        </is>
      </c>
    </row>
    <row r="5"/>
    <row r="6">
      <c r="B6" s="72" t="inlineStr">
        <is>
          <t>Risk level</t>
        </is>
      </c>
      <c r="C6" s="72" t="inlineStr">
        <is>
          <t>Pre-treatment</t>
        </is>
      </c>
      <c r="D6" s="72" t="inlineStr">
        <is>
          <t>Post-treatment</t>
        </is>
      </c>
    </row>
    <row r="7">
      <c r="B7" t="inlineStr">
        <is>
          <t xml:space="preserve"> Low</t>
        </is>
      </c>
      <c r="C7">
        <f>COUNTIF(RiskAssessment[Risk Level],PreMitigationRisksByRiskLevel10[[#This Row],[Risk level]])</f>
        <v/>
      </c>
      <c r="D7">
        <f>COUNTIF(RiskAssessment[Post-Treatment Risk Level],PreMitigationRisksByRiskLevel10[[#This Row],[Risk level]])</f>
        <v/>
      </c>
    </row>
    <row r="8">
      <c r="B8" t="inlineStr">
        <is>
          <t xml:space="preserve"> Medium</t>
        </is>
      </c>
      <c r="C8">
        <f>COUNTIF(RiskAssessment[Risk Level],PreMitigationRisksByRiskLevel10[[#This Row],[Risk level]])</f>
        <v/>
      </c>
      <c r="D8">
        <f>COUNTIF(RiskAssessment[Post-Treatment Risk Level],PreMitigationRisksByRiskLevel10[[#This Row],[Risk level]])</f>
        <v/>
      </c>
    </row>
    <row r="9">
      <c r="B9" t="inlineStr">
        <is>
          <t xml:space="preserve"> High</t>
        </is>
      </c>
      <c r="C9">
        <f>COUNTIF(RiskAssessment[Risk Level],PreMitigationRisksByRiskLevel10[[#This Row],[Risk level]])</f>
        <v/>
      </c>
      <c r="D9">
        <f>COUNTIF(RiskAssessment[Post-Treatment Risk Level],PreMitigationRisksByRiskLevel10[[#This Row],[Risk level]])</f>
        <v/>
      </c>
    </row>
    <row r="10"/>
    <row r="11"/>
    <row r="12">
      <c r="B12" s="43" t="inlineStr">
        <is>
          <t>Risk level</t>
        </is>
      </c>
      <c r="C12" s="43" t="inlineStr">
        <is>
          <t xml:space="preserve">Pre-treatment </t>
        </is>
      </c>
      <c r="D12" s="43" t="inlineStr">
        <is>
          <t xml:space="preserve">Post-treatment </t>
        </is>
      </c>
    </row>
    <row r="13">
      <c r="B13" t="inlineStr">
        <is>
          <t xml:space="preserve"> Low</t>
        </is>
      </c>
      <c r="C13" t="n">
        <v>0</v>
      </c>
      <c r="D13" t="n">
        <v>0</v>
      </c>
    </row>
    <row r="14">
      <c r="B14" t="inlineStr">
        <is>
          <t xml:space="preserve"> Medium</t>
        </is>
      </c>
      <c r="C14" t="n">
        <v>0</v>
      </c>
      <c r="D14" t="n">
        <v>0</v>
      </c>
    </row>
    <row r="15">
      <c r="B15" t="inlineStr">
        <is>
          <t xml:space="preserve"> High</t>
        </is>
      </c>
      <c r="C15" t="n">
        <v>0</v>
      </c>
      <c r="D1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12"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26.5703125" bestFit="1" customWidth="1" min="2" max="2"/>
    <col width="20.140625" bestFit="1" customWidth="1" min="3" max="3"/>
  </cols>
  <sheetData>
    <row r="1"/>
    <row r="2"/>
    <row r="3"/>
    <row r="4" ht="18.75" customHeight="1">
      <c r="B4" s="23" t="inlineStr">
        <is>
          <t>Risks by treatment option chosen</t>
        </is>
      </c>
    </row>
    <row r="5"/>
    <row r="6">
      <c r="B6" s="43" t="inlineStr">
        <is>
          <t>Treatment Option Chosen</t>
        </is>
      </c>
      <c r="C6" s="43" t="inlineStr">
        <is>
          <t>Count of Asset Group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4"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12" bestFit="1" customWidth="1" min="2" max="2"/>
    <col width="21.5703125" bestFit="1" customWidth="1" min="3" max="3"/>
  </cols>
  <sheetData>
    <row r="1"/>
    <row r="2"/>
    <row r="3"/>
    <row r="4" ht="18.75" customHeight="1">
      <c r="B4" s="23" t="inlineStr">
        <is>
          <t>Total treatment cost by risk level</t>
        </is>
      </c>
    </row>
    <row r="5"/>
    <row r="6">
      <c r="B6" s="43" t="inlineStr">
        <is>
          <t>Risk Level</t>
        </is>
      </c>
      <c r="C6" s="43" t="inlineStr">
        <is>
          <t>Sum of Treatment Cost</t>
        </is>
      </c>
    </row>
    <row r="7">
      <c r="B7" t="inlineStr">
        <is>
          <t>Calculated</t>
        </is>
      </c>
      <c r="C7" s="74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5"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31.5703125" bestFit="1" customWidth="1" min="2" max="2"/>
    <col width="12" bestFit="1" customWidth="1" min="3" max="3"/>
    <col width="9.42578125" bestFit="1" customWidth="1" min="4" max="4"/>
    <col width="6" bestFit="1" customWidth="1" min="5" max="5"/>
    <col width="10.28515625" bestFit="1" customWidth="1" min="6" max="6"/>
    <col width="11.28515625" bestFit="1" customWidth="1" min="7" max="7"/>
  </cols>
  <sheetData>
    <row r="1"/>
    <row r="2"/>
    <row r="3"/>
    <row r="4" ht="18.75" customHeight="1">
      <c r="B4" s="23" t="inlineStr">
        <is>
          <t xml:space="preserve">Treatment action owner </t>
        </is>
      </c>
    </row>
    <row r="5"/>
    <row r="6">
      <c r="B6" s="43" t="inlineStr">
        <is>
          <t>Count of Treatment Action Owner</t>
        </is>
      </c>
      <c r="C6" s="43" t="inlineStr">
        <is>
          <t>Risk Level</t>
        </is>
      </c>
    </row>
    <row r="7">
      <c r="B7" s="43" t="inlineStr">
        <is>
          <t>Treatment Action Owner</t>
        </is>
      </c>
      <c r="C7" s="43" t="inlineStr">
        <is>
          <t>Calculated</t>
        </is>
      </c>
    </row>
    <row r="8">
      <c r="B8" t="inlineStr">
        <is>
          <t>(blank)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6">
    <outlinePr summaryBelow="1" summaryRight="1"/>
    <pageSetUpPr/>
  </sheetPr>
  <dimension ref="A1:C263"/>
  <sheetViews>
    <sheetView showGridLines="0" zoomScaleNormal="100" workbookViewId="0">
      <selection activeCell="A1" sqref="A1"/>
    </sheetView>
  </sheetViews>
  <sheetFormatPr baseColWidth="8" defaultColWidth="9.140625" defaultRowHeight="15"/>
  <cols>
    <col width="2.85546875" customWidth="1" style="3" min="1" max="1"/>
    <col width="103" customWidth="1" style="3" min="2" max="2"/>
    <col width="10" customWidth="1" style="3" min="3" max="3"/>
    <col width="9.140625" customWidth="1" style="3" min="4" max="16384"/>
  </cols>
  <sheetData>
    <row r="1"/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 ht="21" customHeight="1">
      <c r="B8" s="10" t="inlineStr">
        <is>
          <t>ISO/IEC 27001 Annex A Reference Controls</t>
        </is>
      </c>
      <c r="C8" s="11" t="n"/>
    </row>
    <row r="9">
      <c r="B9" s="11" t="inlineStr">
        <is>
          <t>The following list of reference controls is used within the risk assessment worksheets.</t>
        </is>
      </c>
      <c r="C9" s="11" t="n"/>
    </row>
    <row r="10">
      <c r="B10" s="11" t="n"/>
      <c r="C10" s="11" t="n"/>
    </row>
    <row r="11" ht="21" customHeight="1">
      <c r="B11" s="30" t="inlineStr">
        <is>
          <t xml:space="preserve"> REF</t>
        </is>
      </c>
    </row>
    <row r="12"/>
    <row r="13" ht="18.75" customHeight="1">
      <c r="B13" s="29" t="inlineStr">
        <is>
          <t>A.5 Organizational controls</t>
        </is>
      </c>
    </row>
    <row r="14" ht="18" customHeight="1">
      <c r="B14" s="2" t="inlineStr">
        <is>
          <t>A.5.1 Policies for information security</t>
        </is>
      </c>
    </row>
    <row r="15">
      <c r="B15" s="2" t="inlineStr">
        <is>
          <t>A.5.2 Information security roles and responsibilities</t>
        </is>
      </c>
    </row>
    <row r="16">
      <c r="B16" s="2" t="inlineStr">
        <is>
          <t>A.5.3 Segregation of duties</t>
        </is>
      </c>
    </row>
    <row r="17">
      <c r="B17" s="2" t="inlineStr">
        <is>
          <t>A.5.4 Management responsibilities</t>
        </is>
      </c>
    </row>
    <row r="18">
      <c r="B18" s="2" t="inlineStr">
        <is>
          <t>A.5.5 Contact with authorities</t>
        </is>
      </c>
    </row>
    <row r="19">
      <c r="B19" s="2" t="inlineStr">
        <is>
          <t>A.5.6 Contact with special interest groups</t>
        </is>
      </c>
    </row>
    <row r="20">
      <c r="B20" s="2" t="inlineStr">
        <is>
          <t>A.5.7 Threat intelligence</t>
        </is>
      </c>
    </row>
    <row r="21">
      <c r="B21" s="2" t="inlineStr">
        <is>
          <t>A.5.8 Information security in project management</t>
        </is>
      </c>
    </row>
    <row r="22">
      <c r="B22" s="2" t="inlineStr">
        <is>
          <t>A.5.9 Inventory of information and other associated assets</t>
        </is>
      </c>
    </row>
    <row r="23">
      <c r="B23" s="2" t="inlineStr">
        <is>
          <t>A.5.10 Acceptable use of information and other associated assets</t>
        </is>
      </c>
    </row>
    <row r="24">
      <c r="B24" s="2" t="inlineStr">
        <is>
          <t>A.5.11 Return of assets</t>
        </is>
      </c>
    </row>
    <row r="25">
      <c r="B25" s="2" t="inlineStr">
        <is>
          <t>A.5.12 Classification of information</t>
        </is>
      </c>
    </row>
    <row r="26">
      <c r="B26" s="2" t="inlineStr">
        <is>
          <t>A.5.13 Labelling of information</t>
        </is>
      </c>
    </row>
    <row r="27">
      <c r="B27" s="2" t="inlineStr">
        <is>
          <t>A.5.14 Information transfer</t>
        </is>
      </c>
    </row>
    <row r="28">
      <c r="B28" s="2" t="inlineStr">
        <is>
          <t>A.5.15 Access control</t>
        </is>
      </c>
    </row>
    <row r="29">
      <c r="B29" s="2" t="inlineStr">
        <is>
          <t>A.5.16 Identity management</t>
        </is>
      </c>
    </row>
    <row r="30">
      <c r="B30" s="2" t="inlineStr">
        <is>
          <t>A.5.17 Authentication information</t>
        </is>
      </c>
    </row>
    <row r="31">
      <c r="B31" s="2" t="inlineStr">
        <is>
          <t>A.5.18 Access rights</t>
        </is>
      </c>
    </row>
    <row r="32">
      <c r="B32" s="2" t="inlineStr">
        <is>
          <t>A.5.19 Information security in supplier relationships</t>
        </is>
      </c>
    </row>
    <row r="33">
      <c r="B33" s="2" t="inlineStr">
        <is>
          <t>A.5.20 Addressing information security within supplier agreements</t>
        </is>
      </c>
    </row>
    <row r="34">
      <c r="B34" s="2" t="inlineStr">
        <is>
          <t>A.5.21 Managing information security in the ICT supply chain</t>
        </is>
      </c>
    </row>
    <row r="35">
      <c r="B35" s="2" t="inlineStr">
        <is>
          <t>A.5.22 Monitoring, review and change management of supplier services</t>
        </is>
      </c>
    </row>
    <row r="36">
      <c r="B36" s="2" t="inlineStr">
        <is>
          <t>A.5.23 Information security for use of cloud services</t>
        </is>
      </c>
    </row>
    <row r="37">
      <c r="B37" s="2" t="inlineStr">
        <is>
          <t>A.5.24 Information security incident management planning and preparation</t>
        </is>
      </c>
    </row>
    <row r="38">
      <c r="B38" s="2" t="inlineStr">
        <is>
          <t>A.5.25 Assessment and decision on information security events</t>
        </is>
      </c>
    </row>
    <row r="39">
      <c r="B39" s="2" t="inlineStr">
        <is>
          <t>A.5.26 Response to information security incidents</t>
        </is>
      </c>
    </row>
    <row r="40" ht="18.75" customHeight="1">
      <c r="B40" s="2" t="inlineStr">
        <is>
          <t>A.5.27 Learning from information security incidents</t>
        </is>
      </c>
    </row>
    <row r="41">
      <c r="B41" s="2" t="inlineStr">
        <is>
          <t>A.5.28 Collection of evidence</t>
        </is>
      </c>
    </row>
    <row r="42">
      <c r="B42" s="2" t="inlineStr">
        <is>
          <t>A.5.29 Information security during disruption</t>
        </is>
      </c>
    </row>
    <row r="43">
      <c r="B43" s="2" t="inlineStr">
        <is>
          <t>A.5.30 ICT readiness for business continuity</t>
        </is>
      </c>
    </row>
    <row r="44">
      <c r="B44" s="2" t="inlineStr">
        <is>
          <t>A.5.31 Legal, statutory, regulatory and contractual requirements</t>
        </is>
      </c>
    </row>
    <row r="45">
      <c r="B45" s="2" t="inlineStr">
        <is>
          <t>A.5.32 Intellectual property rights</t>
        </is>
      </c>
    </row>
    <row r="46">
      <c r="B46" s="2" t="inlineStr">
        <is>
          <t>A.5.33 Protection of records</t>
        </is>
      </c>
    </row>
    <row r="47">
      <c r="B47" s="2" t="inlineStr">
        <is>
          <t>A.5.34 Privacy and protection of PII</t>
        </is>
      </c>
    </row>
    <row r="48">
      <c r="B48" s="2" t="inlineStr">
        <is>
          <t>A.5.35 Independent review of information security</t>
        </is>
      </c>
    </row>
    <row r="49">
      <c r="B49" s="2" t="inlineStr">
        <is>
          <t>A.5.36 Compliance with policies, rules and standards for information security</t>
        </is>
      </c>
    </row>
    <row r="50">
      <c r="B50" s="2" t="inlineStr">
        <is>
          <t>A.5.37 Documented operating procedures</t>
        </is>
      </c>
    </row>
    <row r="51">
      <c r="B51" s="7" t="n"/>
    </row>
    <row r="52" ht="18.75" customHeight="1">
      <c r="B52" s="29" t="inlineStr">
        <is>
          <t>A.6 People controls</t>
        </is>
      </c>
    </row>
    <row r="53">
      <c r="B53" s="2" t="inlineStr">
        <is>
          <t>A.6.1 Screening</t>
        </is>
      </c>
    </row>
    <row r="54">
      <c r="B54" s="2" t="inlineStr">
        <is>
          <t>A.6.2 Terms and conditions of employment</t>
        </is>
      </c>
    </row>
    <row r="55">
      <c r="B55" s="2" t="inlineStr">
        <is>
          <t>A.6.3 Information security awareness, education and training</t>
        </is>
      </c>
    </row>
    <row r="56">
      <c r="B56" s="2" t="inlineStr">
        <is>
          <t>A.6.4 Disciplinary process</t>
        </is>
      </c>
    </row>
    <row r="57">
      <c r="B57" s="2" t="inlineStr">
        <is>
          <t>A.6.5 Responsibilities after termination or change of employment</t>
        </is>
      </c>
    </row>
    <row r="58">
      <c r="B58" s="2" t="inlineStr">
        <is>
          <t>A.6.6 Confidentiality or non-disclosure agreements</t>
        </is>
      </c>
    </row>
    <row r="59">
      <c r="B59" s="2" t="inlineStr">
        <is>
          <t>A.6.7 Remote working</t>
        </is>
      </c>
    </row>
    <row r="60">
      <c r="B60" s="2" t="inlineStr">
        <is>
          <t>A.6.8 Information security event reporting</t>
        </is>
      </c>
    </row>
    <row r="61">
      <c r="B61" s="7" t="n"/>
    </row>
    <row r="62" ht="18.75" customHeight="1">
      <c r="B62" s="29" t="inlineStr">
        <is>
          <t>A.7 Physical controls</t>
        </is>
      </c>
    </row>
    <row r="63">
      <c r="B63" s="2" t="inlineStr">
        <is>
          <t>A.7.1 Physical security perimeters</t>
        </is>
      </c>
    </row>
    <row r="64" ht="15.75" customHeight="1">
      <c r="A64" s="22" t="n"/>
      <c r="B64" s="2" t="inlineStr">
        <is>
          <t>A.7.2 Physical entry</t>
        </is>
      </c>
    </row>
    <row r="65">
      <c r="B65" s="2" t="inlineStr">
        <is>
          <t>A.7.3 Securing offices, rooms and facilities</t>
        </is>
      </c>
    </row>
    <row r="66">
      <c r="B66" s="2" t="inlineStr">
        <is>
          <t>A.7.4 Physical security monitoring</t>
        </is>
      </c>
    </row>
    <row r="67">
      <c r="B67" s="2" t="inlineStr">
        <is>
          <t>A.7.5 Protecting against physical and environmental threats</t>
        </is>
      </c>
    </row>
    <row r="68">
      <c r="B68" s="2" t="inlineStr">
        <is>
          <t>A.7.6 Working in secure areas</t>
        </is>
      </c>
    </row>
    <row r="69">
      <c r="B69" s="2" t="inlineStr">
        <is>
          <t>A.7.7 Clear desk and clear screen</t>
        </is>
      </c>
    </row>
    <row r="70">
      <c r="B70" s="2" t="inlineStr">
        <is>
          <t>A.7.8 Equipment siting and protection</t>
        </is>
      </c>
    </row>
    <row r="71">
      <c r="B71" s="2" t="inlineStr">
        <is>
          <t>A.7.9 Security of assets off-premises</t>
        </is>
      </c>
    </row>
    <row r="72">
      <c r="B72" s="2" t="inlineStr">
        <is>
          <t>A.7.10 Storage media</t>
        </is>
      </c>
    </row>
    <row r="73" ht="16.5" customHeight="1">
      <c r="B73" s="2" t="inlineStr">
        <is>
          <t>A.7.11 Supporting utilities</t>
        </is>
      </c>
    </row>
    <row r="74">
      <c r="B74" s="2" t="inlineStr">
        <is>
          <t>A.7.12 Cabling security</t>
        </is>
      </c>
    </row>
    <row r="75">
      <c r="B75" s="2" t="inlineStr">
        <is>
          <t>A.7.13 Equipment maintenance</t>
        </is>
      </c>
    </row>
    <row r="76">
      <c r="B76" s="2" t="inlineStr">
        <is>
          <t>A.7.14 Secure disposal or re-use of equipment</t>
        </is>
      </c>
    </row>
    <row r="77" ht="15.75" customHeight="1">
      <c r="B77" s="31" t="n"/>
    </row>
    <row r="78" ht="18.75" customHeight="1">
      <c r="B78" s="29" t="inlineStr">
        <is>
          <t>A.8 Technological controls</t>
        </is>
      </c>
    </row>
    <row r="79">
      <c r="B79" s="2" t="inlineStr">
        <is>
          <t>A.8.1 User endpoint devices</t>
        </is>
      </c>
    </row>
    <row r="80">
      <c r="B80" s="2" t="inlineStr">
        <is>
          <t>A.8.2 Privileged access rights</t>
        </is>
      </c>
    </row>
    <row r="81">
      <c r="B81" s="2" t="inlineStr">
        <is>
          <t>A.8.3 Information access restriction</t>
        </is>
      </c>
    </row>
    <row r="82">
      <c r="B82" s="2" t="inlineStr">
        <is>
          <t>A.8.4 Access to source code</t>
        </is>
      </c>
    </row>
    <row r="83">
      <c r="B83" s="2" t="inlineStr">
        <is>
          <t>A.8.5 Secure authentication</t>
        </is>
      </c>
    </row>
    <row r="84">
      <c r="B84" s="2" t="inlineStr">
        <is>
          <t>A.8.6 Capacity management</t>
        </is>
      </c>
    </row>
    <row r="85">
      <c r="B85" s="2" t="inlineStr">
        <is>
          <t>A.8.7 Protection against malware</t>
        </is>
      </c>
    </row>
    <row r="86">
      <c r="B86" s="2" t="inlineStr">
        <is>
          <t>A.8.8 Management of technical vulnerabilities</t>
        </is>
      </c>
    </row>
    <row r="87">
      <c r="B87" s="2" t="inlineStr">
        <is>
          <t>A.8.9 Configuration management</t>
        </is>
      </c>
    </row>
    <row r="88">
      <c r="B88" s="2" t="inlineStr">
        <is>
          <t>A.8.10 Information deletion</t>
        </is>
      </c>
    </row>
    <row r="89">
      <c r="B89" s="2" t="inlineStr">
        <is>
          <t>A.8.11 Data masking</t>
        </is>
      </c>
    </row>
    <row r="90">
      <c r="B90" s="2" t="inlineStr">
        <is>
          <t>A.8.12 Data leakage prevention</t>
        </is>
      </c>
    </row>
    <row r="91">
      <c r="B91" s="2" t="inlineStr">
        <is>
          <t>A.8.13 Information backup</t>
        </is>
      </c>
    </row>
    <row r="92">
      <c r="B92" s="2" t="inlineStr">
        <is>
          <t>A.8.14 Redundancy of information processing facilities</t>
        </is>
      </c>
    </row>
    <row r="93">
      <c r="B93" s="2" t="inlineStr">
        <is>
          <t>A.8.15 Logging</t>
        </is>
      </c>
    </row>
    <row r="94">
      <c r="B94" s="2" t="inlineStr">
        <is>
          <t>A.8.16 Monitoring activities</t>
        </is>
      </c>
    </row>
    <row r="95">
      <c r="B95" s="2" t="inlineStr">
        <is>
          <t>A.8.17 Clock synchronization</t>
        </is>
      </c>
    </row>
    <row r="96">
      <c r="B96" s="2" t="inlineStr">
        <is>
          <t>A.8.18 Use of privileged utility programs</t>
        </is>
      </c>
    </row>
    <row r="97">
      <c r="B97" s="2" t="inlineStr">
        <is>
          <t>A.8.19 Installation of software on operational systems</t>
        </is>
      </c>
    </row>
    <row r="98">
      <c r="B98" s="2" t="inlineStr">
        <is>
          <t>A.8.20 Networks security</t>
        </is>
      </c>
    </row>
    <row r="99">
      <c r="B99" s="2" t="inlineStr">
        <is>
          <t>A.8.21 Security of network services</t>
        </is>
      </c>
    </row>
    <row r="100">
      <c r="B100" s="2" t="inlineStr">
        <is>
          <t>A.8.22 Segregation of networks</t>
        </is>
      </c>
    </row>
    <row r="101" ht="15" customHeight="1">
      <c r="B101" s="2" t="inlineStr">
        <is>
          <t>A.8.23 Web filtering</t>
        </is>
      </c>
    </row>
    <row r="102">
      <c r="B102" s="2" t="inlineStr">
        <is>
          <t>A.8.24 Use of cryptography</t>
        </is>
      </c>
    </row>
    <row r="103">
      <c r="B103" s="2" t="inlineStr">
        <is>
          <t>A.8.25 Secure development life cycle</t>
        </is>
      </c>
    </row>
    <row r="104">
      <c r="B104" s="2" t="inlineStr">
        <is>
          <t>A.8.26 Application security requirements</t>
        </is>
      </c>
    </row>
    <row r="105">
      <c r="B105" s="2" t="inlineStr">
        <is>
          <t>A.8.27 Secure system architecture and engineering principles</t>
        </is>
      </c>
    </row>
    <row r="106">
      <c r="B106" s="2" t="inlineStr">
        <is>
          <t>A.8.28 Secure coding</t>
        </is>
      </c>
    </row>
    <row r="107">
      <c r="B107" s="2" t="inlineStr">
        <is>
          <t>A.8.29 Security testing in development and acceptance</t>
        </is>
      </c>
    </row>
    <row r="108">
      <c r="B108" s="2" t="inlineStr">
        <is>
          <t>A.8.30 Outsourced development</t>
        </is>
      </c>
    </row>
    <row r="109">
      <c r="B109" s="2" t="inlineStr">
        <is>
          <t>A.8.31 Separation of development, test and production environments</t>
        </is>
      </c>
    </row>
    <row r="110">
      <c r="B110" s="2" t="inlineStr">
        <is>
          <t>A.8.32 Change management</t>
        </is>
      </c>
    </row>
    <row r="111">
      <c r="B111" s="2" t="inlineStr">
        <is>
          <t>A.8.33 Test information</t>
        </is>
      </c>
    </row>
    <row r="112">
      <c r="B112" s="2" t="inlineStr">
        <is>
          <t>A.8.34 Protection of information systems during audit testing</t>
        </is>
      </c>
    </row>
    <row r="113">
      <c r="B113" s="7" t="n"/>
    </row>
    <row r="114" ht="15.75" customHeight="1" thickBot="1">
      <c r="B114" s="101" t="n"/>
    </row>
    <row r="115">
      <c r="B115" s="7" t="n"/>
    </row>
    <row r="116" ht="18.75" customHeight="1">
      <c r="B116" s="32" t="n"/>
    </row>
    <row r="117" ht="15.75" customHeight="1">
      <c r="B117" s="31" t="n"/>
    </row>
    <row r="118">
      <c r="B118" s="7" t="n"/>
    </row>
    <row r="119">
      <c r="B119" s="7" t="n"/>
    </row>
    <row r="120">
      <c r="B120" s="7" t="n"/>
    </row>
    <row r="121" ht="15" customHeight="1">
      <c r="B121" s="7" t="n"/>
    </row>
    <row r="122">
      <c r="B122" s="7" t="n"/>
    </row>
    <row r="123">
      <c r="B123" s="7" t="n"/>
    </row>
    <row r="124" ht="15.75" customHeight="1">
      <c r="B124" s="31" t="n"/>
    </row>
    <row r="125">
      <c r="B125" s="7" t="n"/>
    </row>
    <row r="126">
      <c r="B126" s="7" t="n"/>
    </row>
    <row r="127" ht="15.75" customHeight="1">
      <c r="B127" s="31" t="n"/>
    </row>
    <row r="128">
      <c r="B128" s="7" t="n"/>
    </row>
    <row r="129">
      <c r="B129" s="7" t="n"/>
    </row>
    <row r="130" ht="15.75" customHeight="1">
      <c r="B130" s="31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 ht="15.75" customHeight="1">
      <c r="B137" s="31" t="n"/>
    </row>
    <row r="138">
      <c r="B138" s="7" t="n"/>
    </row>
    <row r="139">
      <c r="B139" s="7" t="n"/>
    </row>
    <row r="140" ht="15.75" customHeight="1">
      <c r="B140" s="31" t="n"/>
    </row>
    <row r="141">
      <c r="B141" s="7" t="n"/>
    </row>
    <row r="142">
      <c r="B142" s="7" t="n"/>
    </row>
    <row r="143">
      <c r="B143" s="7" t="n"/>
    </row>
    <row r="144" ht="15.75" customHeight="1">
      <c r="B144" s="31" t="n"/>
    </row>
    <row r="145">
      <c r="B145" s="7" t="n"/>
    </row>
    <row r="146">
      <c r="B146" s="7" t="n"/>
    </row>
    <row r="147" ht="18.75" customHeight="1">
      <c r="B147" s="32" t="n"/>
    </row>
    <row r="148" ht="15.75" customHeight="1">
      <c r="B148" s="31" t="n"/>
    </row>
    <row r="149">
      <c r="B149" s="7" t="n"/>
    </row>
    <row r="150">
      <c r="B150" s="7" t="n"/>
    </row>
    <row r="151">
      <c r="B151" s="7" t="n"/>
    </row>
    <row r="152" ht="15" customHeight="1">
      <c r="B152" s="7" t="n"/>
    </row>
    <row r="153" ht="15" customHeight="1">
      <c r="B153" s="7" t="n"/>
    </row>
    <row r="154" ht="15.75" customHeight="1">
      <c r="B154" s="31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 ht="18.75" customHeight="1">
      <c r="B160" s="33" t="n"/>
    </row>
    <row r="161" ht="15.75" customHeight="1">
      <c r="B161" s="31" t="n"/>
    </row>
    <row r="162" ht="15" customHeight="1">
      <c r="B162" s="7" t="n"/>
    </row>
    <row r="163">
      <c r="B163" s="7" t="n"/>
    </row>
    <row r="164">
      <c r="B164" s="7" t="n"/>
    </row>
    <row r="165">
      <c r="B165" s="7" t="n"/>
    </row>
    <row r="166" ht="15.75" customHeight="1">
      <c r="B166" s="31" t="n"/>
    </row>
    <row r="167">
      <c r="B167" s="7" t="n"/>
    </row>
    <row r="168">
      <c r="B168" s="7" t="n"/>
    </row>
    <row r="169" ht="15" customHeight="1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 ht="15.75" customHeight="1">
      <c r="B177" s="31" t="n"/>
    </row>
    <row r="178">
      <c r="B178" s="7" t="n"/>
    </row>
    <row r="179">
      <c r="B179" s="7" t="n"/>
    </row>
    <row r="180" ht="18.75" customHeight="1">
      <c r="B180" s="32" t="n"/>
    </row>
    <row r="181" ht="15.75" customHeight="1">
      <c r="B181" s="31" t="n"/>
    </row>
    <row r="182" ht="15" customHeight="1">
      <c r="B182" s="7" t="n"/>
    </row>
    <row r="183">
      <c r="B183" s="7" t="n"/>
    </row>
    <row r="184" ht="15" customHeight="1">
      <c r="B184" s="7" t="n"/>
    </row>
    <row r="185" ht="15" customHeight="1">
      <c r="B185" s="7" t="n"/>
    </row>
    <row r="186" ht="15.75" customHeight="1">
      <c r="B186" s="31" t="n"/>
    </row>
    <row r="187">
      <c r="B187" s="7" t="n"/>
    </row>
    <row r="188">
      <c r="B188" s="7" t="n"/>
    </row>
    <row r="189">
      <c r="B189" s="7" t="n"/>
    </row>
    <row r="190" ht="18.75" customHeight="1">
      <c r="B190" s="33" t="n"/>
    </row>
    <row r="191" ht="15.75" customHeight="1">
      <c r="B191" s="31" t="n"/>
    </row>
    <row r="192">
      <c r="B192" s="7" t="n"/>
    </row>
    <row r="193">
      <c r="B193" s="7" t="n"/>
    </row>
    <row r="194">
      <c r="B194" s="7" t="n"/>
    </row>
    <row r="195" ht="15" customHeight="1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 ht="18.75" customHeight="1">
      <c r="B200" s="33" t="n"/>
    </row>
    <row r="201" ht="15.75" customHeight="1">
      <c r="B201" s="31" t="n"/>
    </row>
    <row r="202">
      <c r="B202" s="7" t="n"/>
    </row>
    <row r="203">
      <c r="B203" s="7" t="n"/>
    </row>
    <row r="204" ht="15" customHeight="1">
      <c r="B204" s="7" t="n"/>
    </row>
    <row r="205" ht="15" customHeight="1">
      <c r="B205" s="7" t="n"/>
    </row>
    <row r="206" ht="15.75" customHeight="1">
      <c r="B206" s="31" t="n"/>
    </row>
    <row r="207">
      <c r="B207" s="7" t="n"/>
    </row>
    <row r="208">
      <c r="B208" s="7" t="n"/>
    </row>
    <row r="209" ht="18.75" customHeight="1">
      <c r="B209" s="29" t="n"/>
    </row>
    <row r="210" ht="15.75" customHeight="1">
      <c r="B210" s="31" t="n"/>
    </row>
    <row r="211" ht="15" customHeight="1">
      <c r="B211" s="7" t="n"/>
    </row>
    <row r="212">
      <c r="B212" s="7" t="n"/>
    </row>
    <row r="213">
      <c r="B213" s="7" t="n"/>
    </row>
    <row r="214" ht="15" customHeight="1">
      <c r="B214" s="7" t="n"/>
    </row>
    <row r="215">
      <c r="B215" s="7" t="n"/>
    </row>
    <row r="216">
      <c r="B216" s="7" t="n"/>
    </row>
    <row r="217" ht="15.75" customHeight="1">
      <c r="B217" s="31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 ht="18.75" customHeight="1">
      <c r="B222" s="34" t="n"/>
    </row>
    <row r="223" ht="15.75" customHeight="1">
      <c r="B223" s="31" t="n"/>
    </row>
    <row r="224" ht="15" customHeight="1">
      <c r="B224" s="7" t="n"/>
    </row>
    <row r="225" ht="15" customHeight="1">
      <c r="B225" s="7" t="n"/>
    </row>
    <row r="226" ht="15.75" customHeight="1">
      <c r="B226" s="31" t="n"/>
    </row>
    <row r="227">
      <c r="B227" s="7" t="n"/>
    </row>
    <row r="228">
      <c r="B228" s="7" t="n"/>
    </row>
    <row r="229">
      <c r="B229" s="7" t="n"/>
    </row>
    <row r="230" ht="15.75" customHeight="1">
      <c r="B230" s="31" t="n"/>
    </row>
    <row r="231">
      <c r="B231" s="7" t="n"/>
    </row>
    <row r="232">
      <c r="B232" s="7" t="n"/>
    </row>
    <row r="233" ht="15.75" customHeight="1">
      <c r="B233" s="31" t="n"/>
    </row>
    <row r="234">
      <c r="B234" s="7" t="n"/>
    </row>
    <row r="235">
      <c r="B235" s="7" t="n"/>
    </row>
    <row r="236">
      <c r="B236" s="7" t="n"/>
    </row>
    <row r="237" ht="15.75" customHeight="1">
      <c r="B237" s="31" t="n"/>
    </row>
    <row r="238">
      <c r="B238" s="7" t="n"/>
    </row>
    <row r="239">
      <c r="B239" s="7" t="n"/>
    </row>
    <row r="240" ht="15.75" customHeight="1">
      <c r="B240" s="31" t="n"/>
    </row>
    <row r="241">
      <c r="B241" s="7" t="n"/>
    </row>
    <row r="242" ht="15" customHeight="1">
      <c r="B242" s="7" t="n"/>
    </row>
    <row r="243">
      <c r="B243" s="7" t="n"/>
    </row>
    <row r="244">
      <c r="B244" s="7" t="n"/>
    </row>
    <row r="245" ht="15.75" customHeight="1">
      <c r="B245" s="31" t="n"/>
    </row>
    <row r="246">
      <c r="B246" s="7" t="n"/>
    </row>
    <row r="247">
      <c r="B247" s="7" t="n"/>
    </row>
    <row r="248">
      <c r="B248" s="7" t="n"/>
    </row>
    <row r="249" ht="15" customHeight="1">
      <c r="B249" s="7" t="n"/>
    </row>
    <row r="250" ht="15" customHeight="1">
      <c r="B250" s="7" t="n"/>
    </row>
    <row r="251" ht="15" customHeight="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 ht="15.75" customHeight="1">
      <c r="B260" s="31" t="n"/>
    </row>
    <row r="261">
      <c r="B261" s="7" t="n"/>
    </row>
    <row r="262">
      <c r="B262" s="7" t="n"/>
    </row>
    <row r="263" ht="15.75" customHeight="1" thickBot="1">
      <c r="B263" s="35" t="n"/>
    </row>
    <row r="264" ht="15.75" customHeight="1" thickTop="1"/>
  </sheetData>
  <pageMargins left="0.7086614173228347" right="0.7086614173228347" top="0.7480314960629921" bottom="0.7480314960629921" header="0.3149606299212598" footer="0.3149606299212598"/>
  <pageSetup orientation="portrait" paperSize="9" scale="69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33"/>
  <sheetViews>
    <sheetView showGridLines="0" workbookViewId="0">
      <selection activeCell="A1" sqref="A1"/>
    </sheetView>
  </sheetViews>
  <sheetFormatPr baseColWidth="8" defaultColWidth="9.140625" defaultRowHeight="15"/>
  <cols>
    <col width="2.85546875" customWidth="1" style="20" min="1" max="1"/>
    <col width="4.28515625" customWidth="1" style="20" min="2" max="2"/>
    <col width="22.28515625" customWidth="1" style="20" min="3" max="3"/>
    <col width="57" customWidth="1" style="20" min="4" max="4"/>
    <col width="62.5703125" customWidth="1" style="20" min="5" max="5"/>
    <col width="23.7109375" customWidth="1" style="20" min="6" max="6"/>
    <col width="29" customWidth="1" style="20" min="7" max="7"/>
    <col width="9.140625" customWidth="1" style="20" min="8" max="16384"/>
  </cols>
  <sheetData>
    <row r="1"/>
    <row r="2">
      <c r="B2" s="19" t="n"/>
      <c r="C2" s="19" t="n"/>
    </row>
    <row r="3">
      <c r="B3" s="19" t="n"/>
      <c r="C3" s="19" t="n"/>
    </row>
    <row r="4">
      <c r="B4" s="19" t="n"/>
      <c r="C4" s="19" t="n"/>
    </row>
    <row r="5">
      <c r="B5" s="19" t="n"/>
      <c r="C5" s="19" t="n"/>
    </row>
    <row r="6">
      <c r="B6" s="19" t="n"/>
      <c r="C6" s="19" t="n"/>
    </row>
    <row r="7">
      <c r="B7" s="19" t="n"/>
      <c r="C7" s="19" t="n"/>
    </row>
    <row r="8" ht="21" customHeight="1">
      <c r="B8" s="21" t="n"/>
      <c r="C8" s="21" t="n"/>
      <c r="D8" s="76" t="n"/>
    </row>
    <row r="9">
      <c r="B9" s="76" t="n"/>
      <c r="C9" s="76" t="n"/>
      <c r="D9" s="76" t="n"/>
    </row>
    <row r="10">
      <c r="B10" s="76" t="n"/>
      <c r="C10" s="76" t="n"/>
      <c r="D10" s="76" t="n"/>
    </row>
    <row r="11">
      <c r="B11" s="76" t="n"/>
      <c r="C11" s="76" t="n"/>
      <c r="D11" s="76" t="n"/>
    </row>
    <row r="12" ht="21" customHeight="1">
      <c r="B12" s="102" t="n"/>
      <c r="C12" s="36" t="n"/>
      <c r="D12" s="37" t="n"/>
      <c r="E12" s="37" t="n"/>
      <c r="F12" s="36" t="n"/>
      <c r="G12" s="36" t="n"/>
    </row>
    <row r="13">
      <c r="B13" s="103" t="n"/>
      <c r="C13" s="77" t="n"/>
      <c r="D13" s="78" t="n"/>
      <c r="E13" s="78" t="n"/>
      <c r="F13" s="77" t="n"/>
      <c r="G13" s="77" t="n"/>
    </row>
    <row r="14" ht="45" customHeight="1">
      <c r="B14" s="104" t="n"/>
      <c r="C14" s="76" t="n"/>
      <c r="D14" s="80" t="n"/>
      <c r="E14" s="76" t="n"/>
      <c r="F14" s="80" t="n"/>
      <c r="G14" s="2" t="n"/>
    </row>
    <row r="15" ht="30" customHeight="1">
      <c r="B15" s="104" t="n"/>
      <c r="C15" s="76" t="n"/>
      <c r="D15" s="80" t="n"/>
      <c r="E15" s="80" t="n"/>
      <c r="F15" s="80" t="n"/>
      <c r="G15" s="2" t="n"/>
    </row>
    <row r="16" ht="30" customHeight="1">
      <c r="B16" s="104" t="n"/>
      <c r="C16" s="76" t="n"/>
      <c r="D16" s="80" t="n"/>
      <c r="E16" s="80" t="n"/>
      <c r="F16" s="80" t="n"/>
      <c r="G16" s="2" t="n"/>
    </row>
    <row r="17" ht="45" customHeight="1">
      <c r="B17" s="104" t="n"/>
      <c r="C17" s="76" t="n"/>
      <c r="D17" s="80" t="n"/>
      <c r="E17" s="80" t="n"/>
      <c r="F17" s="80" t="n"/>
      <c r="G17" s="2" t="n"/>
    </row>
    <row r="18" ht="30" customHeight="1">
      <c r="B18" s="104" t="n"/>
      <c r="C18" s="76" t="n"/>
      <c r="D18" s="80" t="n"/>
      <c r="E18" s="80" t="n"/>
      <c r="F18" s="80" t="n"/>
      <c r="G18" s="2" t="n"/>
    </row>
    <row r="19" ht="45" customHeight="1">
      <c r="B19" s="104" t="n"/>
      <c r="C19" s="76" t="n"/>
      <c r="D19" s="80" t="n"/>
      <c r="E19" s="80" t="n"/>
      <c r="F19" s="80" t="n"/>
      <c r="G19" s="2" t="n"/>
    </row>
    <row r="20" ht="30" customHeight="1">
      <c r="B20" s="104" t="n"/>
      <c r="C20" s="76" t="n"/>
      <c r="D20" s="80" t="n"/>
      <c r="E20" s="80" t="n"/>
      <c r="F20" s="80" t="n"/>
      <c r="G20" s="2" t="n"/>
    </row>
    <row r="21" ht="30" customHeight="1">
      <c r="B21" s="104" t="n"/>
      <c r="C21" s="76" t="n"/>
      <c r="D21" s="80" t="n"/>
      <c r="E21" s="80" t="n"/>
      <c r="F21" s="80" t="n"/>
      <c r="G21" s="2" t="n"/>
    </row>
    <row r="22" ht="45" customHeight="1">
      <c r="B22" s="104" t="n"/>
      <c r="C22" s="76" t="n"/>
      <c r="D22" s="80" t="n"/>
      <c r="E22" s="80" t="n"/>
      <c r="F22" s="80" t="n"/>
      <c r="G22" s="2" t="n"/>
    </row>
    <row r="23" ht="60" customHeight="1">
      <c r="B23" s="104" t="n"/>
      <c r="C23" s="76" t="n"/>
      <c r="D23" s="80" t="n"/>
      <c r="E23" s="80" t="n"/>
      <c r="F23" s="80" t="n"/>
      <c r="G23" s="2" t="n"/>
    </row>
    <row r="24" ht="30" customHeight="1">
      <c r="B24" s="104" t="n"/>
      <c r="C24" s="76" t="n"/>
      <c r="D24" s="80" t="n"/>
      <c r="E24" s="80" t="n"/>
      <c r="F24" s="80" t="n"/>
      <c r="G24" s="2" t="n"/>
    </row>
    <row r="25" ht="30" customHeight="1">
      <c r="B25" s="104" t="n"/>
      <c r="C25" s="76" t="n"/>
      <c r="D25" s="80" t="n"/>
      <c r="E25" s="80" t="n"/>
      <c r="F25" s="80" t="n"/>
      <c r="G25" s="2" t="n"/>
    </row>
    <row r="26" ht="30" customHeight="1">
      <c r="B26" s="104" t="n"/>
      <c r="C26" s="76" t="n"/>
      <c r="D26" s="80" t="n"/>
      <c r="E26" s="80" t="n"/>
      <c r="F26" s="80" t="n"/>
      <c r="G26" s="2" t="n"/>
    </row>
    <row r="27" ht="45" customHeight="1">
      <c r="B27" s="104" t="n"/>
      <c r="C27" s="76" t="n"/>
      <c r="D27" s="80" t="n"/>
      <c r="E27" s="80" t="n"/>
      <c r="F27" s="80" t="n"/>
      <c r="G27" s="2" t="n"/>
    </row>
    <row r="28" ht="30" customHeight="1">
      <c r="B28" s="104" t="n"/>
      <c r="C28" s="76" t="n"/>
      <c r="D28" s="80" t="n"/>
      <c r="E28" s="80" t="n"/>
      <c r="F28" s="80" t="n"/>
      <c r="G28" s="2" t="n"/>
    </row>
    <row r="29" ht="45" customHeight="1">
      <c r="B29" s="104" t="n"/>
      <c r="C29" s="76" t="n"/>
      <c r="D29" s="80" t="n"/>
      <c r="E29" s="80" t="n"/>
      <c r="F29" s="80" t="n"/>
      <c r="G29" s="2" t="n"/>
    </row>
    <row r="30" ht="30" customHeight="1">
      <c r="B30" s="104" t="n"/>
      <c r="C30" s="76" t="n"/>
      <c r="D30" s="80" t="n"/>
      <c r="E30" s="80" t="n"/>
      <c r="F30" s="80" t="n"/>
      <c r="G30" s="2" t="n"/>
    </row>
    <row r="31" ht="30" customHeight="1">
      <c r="B31" s="104" t="n"/>
      <c r="C31" s="76" t="n"/>
      <c r="D31" s="80" t="n"/>
      <c r="E31" s="80" t="n"/>
      <c r="F31" s="80" t="n"/>
      <c r="G31" s="2" t="n"/>
    </row>
    <row r="32" ht="45" customHeight="1">
      <c r="B32" s="104" t="n"/>
      <c r="C32" s="76" t="n"/>
      <c r="D32" s="80" t="n"/>
      <c r="E32" s="80" t="n"/>
      <c r="F32" s="80" t="n"/>
      <c r="G32" s="2" t="n"/>
    </row>
    <row r="33" ht="30" customHeight="1">
      <c r="B33" s="104" t="n"/>
      <c r="C33" s="76" t="n"/>
      <c r="D33" s="80" t="n"/>
      <c r="E33" s="80" t="n"/>
      <c r="F33" s="80" t="n"/>
      <c r="G33" s="2" t="n"/>
    </row>
    <row r="34" ht="30" customHeight="1">
      <c r="B34" s="104" t="n"/>
      <c r="C34" s="76" t="n"/>
      <c r="D34" s="80" t="n"/>
      <c r="E34" s="80" t="n"/>
      <c r="F34" s="80" t="n"/>
      <c r="G34" s="2" t="n"/>
    </row>
    <row r="35" ht="30" customHeight="1">
      <c r="B35" s="104" t="n"/>
      <c r="C35" s="76" t="n"/>
      <c r="D35" s="80" t="n"/>
      <c r="E35" s="80" t="n"/>
      <c r="F35" s="80" t="n"/>
      <c r="G35" s="2" t="n"/>
    </row>
    <row r="36" ht="45" customHeight="1">
      <c r="B36" s="104" t="n"/>
      <c r="C36" s="76" t="n"/>
      <c r="D36" s="80" t="n"/>
      <c r="E36" s="80" t="n"/>
      <c r="F36" s="80" t="n"/>
      <c r="G36" s="2" t="n"/>
    </row>
    <row r="37" ht="45" customHeight="1">
      <c r="B37" s="104" t="n"/>
      <c r="C37" s="76" t="n"/>
      <c r="D37" s="80" t="n"/>
      <c r="E37" s="80" t="n"/>
      <c r="F37" s="80" t="n"/>
      <c r="G37" s="2" t="n"/>
    </row>
    <row r="38" ht="30" customHeight="1">
      <c r="B38" s="104" t="n"/>
      <c r="C38" s="76" t="n"/>
      <c r="D38" s="80" t="n"/>
      <c r="E38" s="80" t="n"/>
      <c r="F38" s="80" t="n"/>
      <c r="G38" s="2" t="n"/>
    </row>
    <row r="39" ht="30" customHeight="1">
      <c r="B39" s="104" t="n"/>
      <c r="C39" s="76" t="n"/>
      <c r="D39" s="80" t="n"/>
      <c r="E39" s="80" t="n"/>
      <c r="F39" s="80" t="n"/>
      <c r="G39" s="2" t="n"/>
    </row>
    <row r="40" ht="30" customHeight="1">
      <c r="B40" s="104" t="n"/>
      <c r="C40" s="76" t="n"/>
      <c r="D40" s="80" t="n"/>
      <c r="E40" s="80" t="n"/>
      <c r="F40" s="80" t="n"/>
      <c r="G40" s="2" t="n"/>
    </row>
    <row r="41" ht="30" customHeight="1">
      <c r="B41" s="104" t="n"/>
      <c r="C41" s="76" t="n"/>
      <c r="D41" s="80" t="n"/>
      <c r="E41" s="80" t="n"/>
      <c r="F41" s="80" t="n"/>
      <c r="G41" s="2" t="n"/>
    </row>
    <row r="42" ht="30" customHeight="1">
      <c r="B42" s="104" t="n"/>
      <c r="C42" s="76" t="n"/>
      <c r="D42" s="80" t="n"/>
      <c r="E42" s="80" t="n"/>
      <c r="F42" s="80" t="n"/>
      <c r="G42" s="2" t="n"/>
    </row>
    <row r="43" ht="30" customHeight="1">
      <c r="B43" s="104" t="n"/>
      <c r="C43" s="76" t="n"/>
      <c r="D43" s="80" t="n"/>
      <c r="E43" s="80" t="n"/>
      <c r="F43" s="80" t="n"/>
      <c r="G43" s="2" t="n"/>
    </row>
    <row r="44" ht="30" customHeight="1">
      <c r="B44" s="104" t="n"/>
      <c r="C44" s="76" t="n"/>
      <c r="D44" s="80" t="n"/>
      <c r="E44" s="80" t="n"/>
      <c r="F44" s="80" t="n"/>
      <c r="G44" s="2" t="n"/>
    </row>
    <row r="45" ht="30" customHeight="1">
      <c r="B45" s="104" t="n"/>
      <c r="C45" s="76" t="n"/>
      <c r="D45" s="80" t="n"/>
      <c r="E45" s="80" t="n"/>
      <c r="F45" s="80" t="n"/>
      <c r="G45" s="2" t="n"/>
    </row>
    <row r="46" ht="30" customHeight="1">
      <c r="B46" s="104" t="n"/>
      <c r="C46" s="76" t="n"/>
      <c r="D46" s="80" t="n"/>
      <c r="E46" s="80" t="n"/>
      <c r="F46" s="80" t="n"/>
      <c r="G46" s="2" t="n"/>
    </row>
    <row r="47" ht="30" customHeight="1">
      <c r="B47" s="104" t="n"/>
      <c r="C47" s="76" t="n"/>
      <c r="D47" s="80" t="n"/>
      <c r="E47" s="80" t="n"/>
      <c r="F47" s="80" t="n"/>
      <c r="G47" s="2" t="n"/>
    </row>
    <row r="48" ht="30" customHeight="1">
      <c r="B48" s="104" t="n"/>
      <c r="C48" s="76" t="n"/>
      <c r="D48" s="80" t="n"/>
      <c r="E48" s="80" t="n"/>
      <c r="F48" s="80" t="n"/>
      <c r="G48" s="2" t="n"/>
    </row>
    <row r="49" ht="30" customHeight="1">
      <c r="B49" s="104" t="n"/>
      <c r="C49" s="76" t="n"/>
      <c r="D49" s="80" t="n"/>
      <c r="E49" s="80" t="n"/>
      <c r="F49" s="80" t="n"/>
      <c r="G49" s="2" t="n"/>
    </row>
    <row r="50" ht="30" customHeight="1">
      <c r="B50" s="104" t="n"/>
      <c r="C50" s="76" t="n"/>
      <c r="D50" s="80" t="n"/>
      <c r="E50" s="80" t="n"/>
      <c r="F50" s="80" t="n"/>
      <c r="G50" s="2" t="n"/>
    </row>
    <row r="51" ht="30" customHeight="1">
      <c r="B51" s="104" t="n"/>
      <c r="C51" s="76" t="n"/>
      <c r="D51" s="80" t="n"/>
      <c r="E51" s="80" t="n"/>
      <c r="F51" s="80" t="n"/>
      <c r="G51" s="2" t="n"/>
    </row>
    <row r="52" ht="30" customHeight="1">
      <c r="B52" s="104" t="n"/>
      <c r="C52" s="76" t="n"/>
      <c r="D52" s="80" t="n"/>
      <c r="E52" s="80" t="n"/>
      <c r="F52" s="80" t="n"/>
      <c r="G52" s="2" t="n"/>
    </row>
    <row r="53" ht="30" customHeight="1">
      <c r="B53" s="104" t="n"/>
      <c r="C53" s="76" t="n"/>
      <c r="D53" s="80" t="n"/>
      <c r="E53" s="80" t="n"/>
      <c r="F53" s="80" t="n"/>
      <c r="G53" s="2" t="n"/>
    </row>
    <row r="54" ht="30" customHeight="1">
      <c r="B54" s="104" t="n"/>
      <c r="C54" s="76" t="n"/>
      <c r="D54" s="80" t="n"/>
      <c r="E54" s="80" t="n"/>
      <c r="F54" s="80" t="n"/>
      <c r="G54" s="2" t="n"/>
    </row>
    <row r="55" ht="45" customHeight="1">
      <c r="B55" s="104" t="n"/>
      <c r="C55" s="76" t="n"/>
      <c r="D55" s="80" t="n"/>
      <c r="E55" s="80" t="n"/>
      <c r="F55" s="80" t="n"/>
      <c r="G55" s="2" t="n"/>
    </row>
    <row r="56" ht="30" customHeight="1">
      <c r="B56" s="104" t="n"/>
      <c r="C56" s="76" t="n"/>
      <c r="D56" s="80" t="n"/>
      <c r="E56" s="80" t="n"/>
      <c r="F56" s="80" t="n"/>
      <c r="G56" s="2" t="n"/>
    </row>
    <row r="57" ht="30" customHeight="1">
      <c r="B57" s="104" t="n"/>
      <c r="C57" s="76" t="n"/>
      <c r="D57" s="80" t="n"/>
      <c r="E57" s="80" t="n"/>
      <c r="F57" s="80" t="n"/>
      <c r="G57" s="2" t="n"/>
    </row>
    <row r="58" ht="30" customHeight="1">
      <c r="B58" s="104" t="n"/>
      <c r="C58" s="76" t="n"/>
      <c r="D58" s="80" t="n"/>
      <c r="E58" s="80" t="n"/>
      <c r="F58" s="80" t="n"/>
      <c r="G58" s="80" t="n"/>
    </row>
    <row r="59" ht="30" customHeight="1">
      <c r="B59" s="104" t="n"/>
      <c r="C59" s="76" t="n"/>
      <c r="D59" s="80" t="n"/>
      <c r="E59" s="80" t="n"/>
      <c r="F59" s="80" t="n"/>
      <c r="G59" s="2" t="n"/>
    </row>
    <row r="60" ht="45" customHeight="1">
      <c r="B60" s="104" t="n"/>
      <c r="C60" s="76" t="n"/>
      <c r="D60" s="80" t="n"/>
      <c r="E60" s="80" t="n"/>
      <c r="F60" s="80" t="n"/>
      <c r="G60" s="2" t="n"/>
    </row>
    <row r="61" ht="30" customHeight="1">
      <c r="B61" s="104" t="n"/>
      <c r="C61" s="76" t="n"/>
      <c r="D61" s="80" t="n"/>
      <c r="E61" s="80" t="n"/>
      <c r="F61" s="80" t="n"/>
      <c r="G61" s="2" t="n"/>
    </row>
    <row r="62" ht="30" customHeight="1">
      <c r="B62" s="104" t="n"/>
      <c r="C62" s="76" t="n"/>
      <c r="D62" s="80" t="n"/>
      <c r="E62" s="80" t="n"/>
      <c r="F62" s="80" t="n"/>
      <c r="G62" s="2" t="n"/>
    </row>
    <row r="63" ht="30" customHeight="1">
      <c r="B63" s="104" t="n"/>
      <c r="C63" s="76" t="n"/>
      <c r="D63" s="80" t="n"/>
      <c r="E63" s="80" t="n"/>
      <c r="F63" s="80" t="n"/>
      <c r="G63" s="2" t="n"/>
    </row>
    <row r="64" ht="30" customHeight="1">
      <c r="B64" s="104" t="n"/>
      <c r="C64" s="76" t="n"/>
      <c r="D64" s="80" t="n"/>
      <c r="E64" s="80" t="n"/>
      <c r="F64" s="80" t="n"/>
      <c r="G64" s="2" t="n"/>
    </row>
    <row r="65" ht="30" customHeight="1">
      <c r="B65" s="104" t="n"/>
      <c r="C65" s="76" t="n"/>
      <c r="D65" s="80" t="n"/>
      <c r="E65" s="80" t="n"/>
      <c r="F65" s="80" t="n"/>
      <c r="G65" s="2" t="n"/>
    </row>
    <row r="66" ht="30" customHeight="1">
      <c r="B66" s="104" t="n"/>
      <c r="C66" s="76" t="n"/>
      <c r="D66" s="80" t="n"/>
      <c r="E66" s="80" t="n"/>
      <c r="F66" s="80" t="n"/>
      <c r="G66" s="2" t="n"/>
    </row>
    <row r="67" ht="45" customHeight="1">
      <c r="B67" s="104" t="n"/>
      <c r="C67" s="76" t="n"/>
      <c r="D67" s="80" t="n"/>
      <c r="E67" s="80" t="n"/>
      <c r="F67" s="80" t="n"/>
      <c r="G67" s="2" t="n"/>
    </row>
    <row r="68" ht="30" customHeight="1">
      <c r="B68" s="104" t="n"/>
      <c r="C68" s="76" t="n"/>
      <c r="D68" s="80" t="n"/>
      <c r="E68" s="80" t="n"/>
      <c r="F68" s="80" t="n"/>
      <c r="G68" s="2" t="n"/>
    </row>
    <row r="69" ht="30" customHeight="1">
      <c r="B69" s="104" t="n"/>
      <c r="C69" s="76" t="n"/>
      <c r="D69" s="80" t="n"/>
      <c r="E69" s="80" t="n"/>
      <c r="F69" s="80" t="n"/>
      <c r="G69" s="2" t="n"/>
    </row>
    <row r="70" ht="30" customHeight="1">
      <c r="B70" s="104" t="n"/>
      <c r="C70" s="76" t="n"/>
      <c r="D70" s="80" t="n"/>
      <c r="E70" s="80" t="n"/>
      <c r="F70" s="80" t="n"/>
      <c r="G70" s="2" t="n"/>
    </row>
    <row r="71" ht="30" customHeight="1">
      <c r="B71" s="104" t="n"/>
      <c r="C71" s="76" t="n"/>
      <c r="D71" s="80" t="n"/>
      <c r="E71" s="80" t="n"/>
      <c r="F71" s="80" t="n"/>
      <c r="G71" s="2" t="n"/>
    </row>
    <row r="72" ht="30" customHeight="1">
      <c r="B72" s="104" t="n"/>
      <c r="C72" s="76" t="n"/>
      <c r="D72" s="80" t="n"/>
      <c r="E72" s="80" t="n"/>
      <c r="F72" s="80" t="n"/>
      <c r="G72" s="2" t="n"/>
    </row>
    <row r="73" ht="45" customHeight="1">
      <c r="B73" s="104" t="n"/>
      <c r="C73" s="76" t="n"/>
      <c r="D73" s="80" t="n"/>
      <c r="E73" s="80" t="n"/>
      <c r="F73" s="80" t="n"/>
      <c r="G73" s="2" t="n"/>
    </row>
    <row r="74" ht="30" customHeight="1">
      <c r="B74" s="104" t="n"/>
      <c r="C74" s="76" t="n"/>
      <c r="D74" s="80" t="n"/>
      <c r="E74" s="80" t="n"/>
      <c r="F74" s="80" t="n"/>
      <c r="G74" s="2" t="n"/>
    </row>
    <row r="75" ht="45" customHeight="1">
      <c r="B75" s="104" t="n"/>
      <c r="C75" s="76" t="n"/>
      <c r="D75" s="80" t="n"/>
      <c r="E75" s="80" t="n"/>
      <c r="F75" s="80" t="n"/>
      <c r="G75" s="2" t="n"/>
    </row>
    <row r="76" ht="45" customHeight="1">
      <c r="B76" s="104" t="n"/>
      <c r="C76" s="76" t="n"/>
      <c r="D76" s="80" t="n"/>
      <c r="E76" s="80" t="n"/>
      <c r="F76" s="80" t="n"/>
      <c r="G76" s="2" t="n"/>
    </row>
    <row r="77" ht="45" customHeight="1">
      <c r="B77" s="104" t="n"/>
      <c r="C77" s="76" t="n"/>
      <c r="D77" s="80" t="n"/>
      <c r="E77" s="80" t="n"/>
      <c r="F77" s="80" t="n"/>
      <c r="G77" s="2" t="n"/>
    </row>
    <row r="78">
      <c r="B78" s="104" t="n"/>
      <c r="C78" s="76" t="n"/>
      <c r="D78" s="80" t="n"/>
      <c r="E78" s="80" t="n"/>
      <c r="F78" s="80" t="n"/>
      <c r="G78" s="2" t="n"/>
    </row>
    <row r="79" ht="30" customHeight="1">
      <c r="B79" s="104" t="n"/>
      <c r="C79" s="76" t="n"/>
      <c r="D79" s="80" t="n"/>
      <c r="E79" s="80" t="n"/>
      <c r="F79" s="80" t="n"/>
      <c r="G79" s="2" t="n"/>
    </row>
    <row r="80" ht="30" customHeight="1">
      <c r="B80" s="104" t="n"/>
      <c r="C80" s="76" t="n"/>
      <c r="D80" s="80" t="n"/>
      <c r="E80" s="80" t="n"/>
      <c r="F80" s="80" t="n"/>
      <c r="G80" s="2" t="n"/>
    </row>
    <row r="81">
      <c r="B81" s="104" t="n"/>
      <c r="C81" s="76" t="n"/>
      <c r="D81" s="80" t="n"/>
      <c r="E81" s="80" t="n"/>
      <c r="F81" s="80" t="n"/>
      <c r="G81" s="2" t="n"/>
    </row>
    <row r="82" ht="30" customHeight="1">
      <c r="B82" s="104" t="n"/>
      <c r="C82" s="76" t="n"/>
      <c r="D82" s="80" t="n"/>
      <c r="E82" s="80" t="n"/>
      <c r="F82" s="80" t="n"/>
      <c r="G82" s="2" t="n"/>
    </row>
    <row r="83" ht="30" customHeight="1">
      <c r="B83" s="104" t="n"/>
      <c r="C83" s="76" t="n"/>
      <c r="D83" s="80" t="n"/>
      <c r="E83" s="80" t="n"/>
      <c r="F83" s="80" t="n"/>
      <c r="G83" s="2" t="n"/>
    </row>
    <row r="84" ht="45" customHeight="1">
      <c r="B84" s="104" t="n"/>
      <c r="C84" s="76" t="n"/>
      <c r="D84" s="80" t="n"/>
      <c r="E84" s="80" t="n"/>
      <c r="F84" s="80" t="n"/>
      <c r="G84" s="2" t="n"/>
    </row>
    <row r="85" ht="30" customHeight="1">
      <c r="B85" s="104" t="n"/>
      <c r="C85" s="76" t="n"/>
      <c r="D85" s="80" t="n"/>
      <c r="E85" s="80" t="n"/>
      <c r="F85" s="80" t="n"/>
      <c r="G85" s="2" t="n"/>
    </row>
    <row r="86" ht="30" customHeight="1">
      <c r="B86" s="104" t="n"/>
      <c r="C86" s="76" t="n"/>
      <c r="D86" s="80" t="n"/>
      <c r="E86" s="80" t="n"/>
      <c r="F86" s="80" t="n"/>
      <c r="G86" s="2" t="n"/>
    </row>
    <row r="87" ht="45" customHeight="1">
      <c r="B87" s="104" t="n"/>
      <c r="C87" s="76" t="n"/>
      <c r="D87" s="80" t="n"/>
      <c r="E87" s="80" t="n"/>
      <c r="F87" s="80" t="n"/>
      <c r="G87" s="2" t="n"/>
    </row>
    <row r="88" ht="30" customHeight="1">
      <c r="B88" s="104" t="n"/>
      <c r="C88" s="76" t="n"/>
      <c r="D88" s="80" t="n"/>
      <c r="E88" s="80" t="n"/>
      <c r="F88" s="80" t="n"/>
      <c r="G88" s="2" t="n"/>
    </row>
    <row r="89" ht="45" customHeight="1">
      <c r="B89" s="104" t="n"/>
      <c r="C89" s="76" t="n"/>
      <c r="D89" s="80" t="n"/>
      <c r="E89" s="80" t="n"/>
      <c r="F89" s="80" t="n"/>
      <c r="G89" s="2" t="n"/>
    </row>
    <row r="90" ht="45" customHeight="1">
      <c r="B90" s="104" t="n"/>
      <c r="C90" s="76" t="n"/>
      <c r="D90" s="80" t="n"/>
      <c r="E90" s="80" t="n"/>
      <c r="F90" s="80" t="n"/>
      <c r="G90" s="2" t="n"/>
    </row>
    <row r="91" ht="30" customHeight="1">
      <c r="B91" s="104" t="n"/>
      <c r="C91" s="76" t="n"/>
      <c r="D91" s="80" t="n"/>
      <c r="E91" s="80" t="n"/>
      <c r="F91" s="80" t="n"/>
      <c r="G91" s="2" t="n"/>
    </row>
    <row r="92" ht="30" customHeight="1">
      <c r="B92" s="104" t="n"/>
      <c r="C92" s="76" t="n"/>
      <c r="D92" s="80" t="n"/>
      <c r="E92" s="80" t="n"/>
      <c r="F92" s="80" t="n"/>
      <c r="G92" s="2" t="n"/>
    </row>
    <row r="93" ht="30" customHeight="1">
      <c r="B93" s="104" t="n"/>
      <c r="C93" s="76" t="n"/>
      <c r="D93" s="80" t="n"/>
      <c r="E93" s="80" t="n"/>
      <c r="F93" s="80" t="n"/>
      <c r="G93" s="2" t="n"/>
    </row>
    <row r="94" ht="30" customHeight="1">
      <c r="B94" s="104" t="n"/>
      <c r="C94" s="76" t="n"/>
      <c r="D94" s="80" t="n"/>
      <c r="E94" s="80" t="n"/>
      <c r="F94" s="80" t="n"/>
      <c r="G94" s="2" t="n"/>
    </row>
    <row r="95" ht="30" customHeight="1">
      <c r="B95" s="104" t="n"/>
      <c r="C95" s="76" t="n"/>
      <c r="D95" s="80" t="n"/>
      <c r="E95" s="80" t="n"/>
      <c r="F95" s="80" t="n"/>
      <c r="G95" s="2" t="n"/>
    </row>
    <row r="96" ht="30" customHeight="1">
      <c r="B96" s="104" t="n"/>
      <c r="C96" s="76" t="n"/>
      <c r="D96" s="80" t="n"/>
      <c r="E96" s="80" t="n"/>
      <c r="F96" s="80" t="n"/>
      <c r="G96" s="2" t="n"/>
    </row>
    <row r="97" ht="30" customHeight="1">
      <c r="B97" s="104" t="n"/>
      <c r="C97" s="76" t="n"/>
      <c r="D97" s="80" t="n"/>
      <c r="E97" s="80" t="n"/>
      <c r="F97" s="80" t="n"/>
      <c r="G97" s="2" t="n"/>
    </row>
    <row r="98" ht="30" customHeight="1">
      <c r="B98" s="104" t="n"/>
      <c r="C98" s="76" t="n"/>
      <c r="D98" s="80" t="n"/>
      <c r="E98" s="80" t="n"/>
      <c r="F98" s="80" t="n"/>
      <c r="G98" s="2" t="n"/>
    </row>
    <row r="99" ht="30" customHeight="1">
      <c r="B99" s="104" t="n"/>
      <c r="C99" s="76" t="n"/>
      <c r="D99" s="80" t="n"/>
      <c r="E99" s="80" t="n"/>
      <c r="F99" s="80" t="n"/>
      <c r="G99" s="2" t="n"/>
    </row>
    <row r="100" ht="30" customHeight="1">
      <c r="B100" s="104" t="n"/>
      <c r="C100" s="76" t="n"/>
      <c r="D100" s="80" t="n"/>
      <c r="E100" s="80" t="n"/>
      <c r="F100" s="80" t="n"/>
      <c r="G100" s="2" t="n"/>
    </row>
    <row r="101" ht="30" customHeight="1">
      <c r="B101" s="104" t="n"/>
      <c r="C101" s="76" t="n"/>
      <c r="D101" s="80" t="n"/>
      <c r="E101" s="80" t="n"/>
      <c r="F101" s="80" t="n"/>
      <c r="G101" s="2" t="n"/>
    </row>
    <row r="102" ht="45" customHeight="1">
      <c r="B102" s="104" t="n"/>
      <c r="C102" s="76" t="n"/>
      <c r="D102" s="80" t="n"/>
      <c r="E102" s="80" t="n"/>
      <c r="F102" s="80" t="n"/>
      <c r="G102" s="2" t="n"/>
    </row>
    <row r="103" ht="45" customHeight="1">
      <c r="B103" s="104" t="n"/>
      <c r="C103" s="76" t="n"/>
      <c r="D103" s="80" t="n"/>
      <c r="E103" s="80" t="n"/>
      <c r="F103" s="80" t="n"/>
      <c r="G103" s="2" t="n"/>
    </row>
    <row r="104" ht="45" customHeight="1">
      <c r="B104" s="104" t="n"/>
      <c r="C104" s="76" t="n"/>
      <c r="D104" s="80" t="n"/>
      <c r="E104" s="80" t="n"/>
      <c r="F104" s="80" t="n"/>
      <c r="G104" s="2" t="n"/>
    </row>
    <row r="105" ht="30" customHeight="1">
      <c r="B105" s="104" t="n"/>
      <c r="C105" s="76" t="n"/>
      <c r="D105" s="80" t="n"/>
      <c r="E105" s="80" t="n"/>
      <c r="F105" s="80" t="n"/>
      <c r="G105" s="2" t="n"/>
    </row>
    <row r="106" ht="30" customHeight="1">
      <c r="B106" s="104" t="n"/>
      <c r="C106" s="76" t="n"/>
      <c r="D106" s="80" t="n"/>
      <c r="E106" s="80" t="n"/>
      <c r="F106" s="80" t="n"/>
      <c r="G106" s="2" t="n"/>
    </row>
    <row r="107" ht="30" customHeight="1">
      <c r="B107" s="104" t="n"/>
      <c r="C107" s="76" t="n"/>
      <c r="D107" s="80" t="n"/>
      <c r="E107" s="80" t="n"/>
      <c r="F107" s="80" t="n"/>
      <c r="G107" s="2" t="n"/>
    </row>
    <row r="108" ht="45" customHeight="1">
      <c r="B108" s="104" t="n"/>
      <c r="C108" s="76" t="n"/>
      <c r="D108" s="80" t="n"/>
      <c r="E108" s="80" t="n"/>
      <c r="F108" s="80" t="n"/>
      <c r="G108" s="2" t="n"/>
    </row>
    <row r="109" ht="45" customHeight="1">
      <c r="B109" s="104" t="n"/>
      <c r="C109" s="76" t="n"/>
      <c r="D109" s="80" t="n"/>
      <c r="E109" s="76" t="n"/>
      <c r="F109" s="80" t="n"/>
      <c r="G109" s="2" t="n"/>
    </row>
    <row r="110" ht="45" customHeight="1">
      <c r="B110" s="104" t="n"/>
      <c r="C110" s="76" t="n"/>
      <c r="D110" s="80" t="n"/>
      <c r="E110" s="80" t="n"/>
      <c r="F110" s="80" t="n"/>
      <c r="G110" s="2" t="n"/>
    </row>
    <row r="111" ht="30" customHeight="1">
      <c r="B111" s="104" t="n"/>
      <c r="C111" s="76" t="n"/>
      <c r="D111" s="80" t="n"/>
      <c r="E111" s="80" t="n"/>
      <c r="F111" s="80" t="n"/>
      <c r="G111" s="2" t="n"/>
    </row>
    <row r="112" ht="45" customHeight="1">
      <c r="B112" s="104" t="n"/>
      <c r="C112" s="76" t="n"/>
      <c r="D112" s="80" t="n"/>
      <c r="E112" s="80" t="n"/>
      <c r="F112" s="80" t="n"/>
      <c r="G112" s="2" t="n"/>
    </row>
    <row r="113" ht="45" customHeight="1">
      <c r="B113" s="104" t="n"/>
      <c r="C113" s="76" t="n"/>
      <c r="D113" s="80" t="n"/>
      <c r="E113" s="80" t="n"/>
      <c r="F113" s="80" t="n"/>
      <c r="G113" s="2" t="n"/>
    </row>
    <row r="114" ht="45" customHeight="1">
      <c r="B114" s="104" t="n"/>
      <c r="C114" s="76" t="n"/>
      <c r="D114" s="80" t="n"/>
      <c r="E114" s="80" t="n"/>
      <c r="F114" s="80" t="n"/>
      <c r="G114" s="2" t="n"/>
    </row>
    <row r="115" ht="30" customHeight="1">
      <c r="B115" s="104" t="n"/>
      <c r="C115" s="76" t="n"/>
      <c r="D115" s="80" t="n"/>
      <c r="E115" s="80" t="n"/>
      <c r="F115" s="80" t="n"/>
      <c r="G115" s="2" t="n"/>
    </row>
    <row r="116" ht="30" customHeight="1">
      <c r="B116" s="104" t="n"/>
      <c r="C116" s="76" t="n"/>
      <c r="D116" s="80" t="n"/>
      <c r="E116" s="80" t="n"/>
      <c r="F116" s="80" t="n"/>
      <c r="G116" s="2" t="n"/>
    </row>
    <row r="117" ht="45" customHeight="1">
      <c r="B117" s="104" t="n"/>
      <c r="C117" s="76" t="n"/>
      <c r="D117" s="80" t="n"/>
      <c r="E117" s="80" t="n"/>
      <c r="F117" s="80" t="n"/>
      <c r="G117" s="2" t="n"/>
    </row>
    <row r="118" ht="30" customHeight="1">
      <c r="B118" s="104" t="n"/>
      <c r="C118" s="76" t="n"/>
      <c r="D118" s="80" t="n"/>
      <c r="E118" s="76" t="n"/>
      <c r="F118" s="80" t="n"/>
      <c r="G118" s="2" t="n"/>
    </row>
    <row r="119" ht="30" customHeight="1">
      <c r="B119" s="104" t="n"/>
      <c r="C119" s="76" t="n"/>
      <c r="D119" s="80" t="n"/>
      <c r="E119" s="80" t="n"/>
      <c r="F119" s="80" t="n"/>
      <c r="G119" s="2" t="n"/>
    </row>
    <row r="120" ht="45" customHeight="1">
      <c r="B120" s="104" t="n"/>
      <c r="C120" s="76" t="n"/>
      <c r="D120" s="80" t="n"/>
      <c r="E120" s="80" t="n"/>
      <c r="F120" s="80" t="n"/>
      <c r="G120" s="2" t="n"/>
    </row>
    <row r="121" ht="30" customHeight="1">
      <c r="B121" s="104" t="n"/>
      <c r="C121" s="76" t="n"/>
      <c r="D121" s="80" t="n"/>
      <c r="E121" s="80" t="n"/>
      <c r="F121" s="80" t="n"/>
      <c r="G121" s="2" t="n"/>
    </row>
    <row r="122" ht="30" customHeight="1">
      <c r="B122" s="104" t="n"/>
      <c r="C122" s="76" t="n"/>
      <c r="D122" s="80" t="n"/>
      <c r="E122" s="80" t="n"/>
      <c r="F122" s="80" t="n"/>
      <c r="G122" s="2" t="n"/>
    </row>
    <row r="123" ht="30" customHeight="1">
      <c r="B123" s="104" t="n"/>
      <c r="C123" s="76" t="n"/>
      <c r="D123" s="80" t="n"/>
      <c r="E123" s="80" t="n"/>
      <c r="F123" s="80" t="n"/>
      <c r="G123" s="2" t="n"/>
    </row>
    <row r="124" ht="45" customHeight="1">
      <c r="B124" s="104" t="n"/>
      <c r="C124" s="76" t="n"/>
      <c r="D124" s="80" t="n"/>
      <c r="E124" s="80" t="n"/>
      <c r="F124" s="80" t="n"/>
      <c r="G124" s="2" t="n"/>
    </row>
    <row r="125" ht="45" customHeight="1">
      <c r="B125" s="104" t="n"/>
      <c r="C125" s="76" t="n"/>
      <c r="D125" s="80" t="n"/>
      <c r="E125" s="80" t="n"/>
      <c r="F125" s="80" t="n"/>
      <c r="G125" s="2" t="n"/>
    </row>
    <row r="126" ht="45" customHeight="1">
      <c r="B126" s="104" t="n"/>
      <c r="C126" s="76" t="n"/>
      <c r="D126" s="80" t="n"/>
      <c r="E126" s="80" t="n"/>
      <c r="F126" s="80" t="n"/>
      <c r="G126" s="2" t="n"/>
    </row>
    <row r="127" ht="30" customHeight="1">
      <c r="B127" s="104" t="n"/>
      <c r="C127" s="76" t="n"/>
      <c r="D127" s="80" t="n"/>
      <c r="E127" s="80" t="n"/>
      <c r="F127" s="80" t="n"/>
      <c r="G127" s="2" t="n"/>
    </row>
    <row r="128" ht="30" customHeight="1">
      <c r="B128" s="104" t="n"/>
      <c r="C128" s="76" t="n"/>
      <c r="D128" s="80" t="n"/>
      <c r="E128" s="80" t="n"/>
      <c r="F128" s="80" t="n"/>
      <c r="G128" s="2" t="n"/>
    </row>
    <row r="129" ht="45" customHeight="1">
      <c r="B129" s="104" t="n"/>
      <c r="C129" s="76" t="n"/>
      <c r="D129" s="80" t="n"/>
      <c r="E129" s="80" t="n"/>
      <c r="F129" s="80" t="n"/>
      <c r="G129" s="2" t="n"/>
    </row>
    <row r="130" ht="45" customHeight="1">
      <c r="B130" s="104" t="n"/>
      <c r="C130" s="76" t="n"/>
      <c r="D130" s="80" t="n"/>
      <c r="E130" s="80" t="n"/>
      <c r="F130" s="80" t="n"/>
      <c r="G130" s="2" t="n"/>
    </row>
    <row r="131" ht="45" customHeight="1">
      <c r="B131" s="104" t="n"/>
      <c r="C131" s="76" t="n"/>
      <c r="D131" s="80" t="n"/>
      <c r="E131" s="80" t="n"/>
      <c r="F131" s="80" t="n"/>
      <c r="G131" s="2" t="n"/>
    </row>
    <row r="132" ht="45" customHeight="1">
      <c r="B132" s="104" t="n"/>
      <c r="C132" s="76" t="n"/>
      <c r="D132" s="80" t="n"/>
      <c r="E132" s="80" t="n"/>
      <c r="F132" s="80" t="n"/>
      <c r="G132" s="2" t="n"/>
    </row>
    <row r="133" ht="15.75" customHeight="1" thickBot="1">
      <c r="B133" s="81" t="n"/>
      <c r="C133" s="81" t="n"/>
      <c r="D133" s="81" t="n"/>
      <c r="E133" s="81" t="n"/>
      <c r="F133" s="81" t="n"/>
      <c r="G133" s="81" t="n"/>
    </row>
    <row r="134" ht="15.75" customHeight="1" thickTop="1"/>
  </sheetData>
  <pageMargins left="0.7086614173228347" right="0.7086614173228347" top="0.7480314960629921" bottom="0.7480314960629921" header="0.3149606299212598" footer="0.3149606299212598"/>
  <pageSetup orientation="landscape" paperSize="9" scale="66" fitToHeight="0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69"/>
  <sheetViews>
    <sheetView showGridLines="0" workbookViewId="0">
      <selection activeCell="A1" sqref="A1"/>
    </sheetView>
  </sheetViews>
  <sheetFormatPr baseColWidth="8" defaultColWidth="9.140625" defaultRowHeight="15"/>
  <cols>
    <col width="2.85546875" customWidth="1" style="20" min="1" max="1"/>
    <col width="18.5703125" customWidth="1" style="20" min="2" max="2"/>
    <col width="22.28515625" customWidth="1" style="20" min="3" max="3"/>
    <col width="51.28515625" customWidth="1" style="20" min="4" max="4"/>
    <col width="9.140625" customWidth="1" style="20" min="5" max="16384"/>
  </cols>
  <sheetData>
    <row r="1"/>
    <row r="2">
      <c r="B2" s="19" t="n"/>
      <c r="C2" s="19" t="n"/>
    </row>
    <row r="3">
      <c r="B3" s="19" t="n"/>
      <c r="C3" s="19" t="n"/>
    </row>
    <row r="4">
      <c r="B4" s="19" t="n"/>
      <c r="C4" s="19" t="n"/>
    </row>
    <row r="5">
      <c r="B5" s="19" t="n"/>
      <c r="C5" s="19" t="n"/>
    </row>
    <row r="6">
      <c r="B6" s="19" t="n"/>
      <c r="C6" s="19" t="n"/>
    </row>
    <row r="7">
      <c r="B7" s="19" t="n"/>
      <c r="C7" s="19" t="n"/>
    </row>
    <row r="8" ht="21" customHeight="1">
      <c r="B8" s="21" t="n"/>
      <c r="C8" s="21" t="n"/>
      <c r="D8" s="76" t="n"/>
    </row>
    <row r="9">
      <c r="B9" s="76" t="n"/>
      <c r="C9" s="76" t="n"/>
      <c r="D9" s="76" t="n"/>
    </row>
    <row r="10">
      <c r="B10" s="76" t="n"/>
      <c r="C10" s="76" t="n"/>
      <c r="D10" s="76" t="n"/>
    </row>
    <row r="11">
      <c r="B11" s="76" t="n"/>
      <c r="C11" s="76" t="n"/>
      <c r="D11" s="76" t="n"/>
    </row>
    <row r="12" ht="21" customHeight="1">
      <c r="B12" s="36" t="n"/>
      <c r="C12" s="36" t="n"/>
      <c r="D12" s="37" t="n"/>
    </row>
    <row r="13" ht="15.75" customHeight="1">
      <c r="B13" s="8" t="n"/>
    </row>
    <row r="14"/>
    <row r="15"/>
    <row r="16" ht="15.75" customHeight="1" thickBot="1">
      <c r="B16" s="82" t="n"/>
      <c r="C16" s="82" t="n"/>
      <c r="D16" s="82" t="n"/>
    </row>
    <row r="17" ht="16.5" customHeight="1" thickTop="1">
      <c r="B17" s="8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 ht="15.75" customHeight="1" thickBot="1">
      <c r="B56" s="82" t="n"/>
      <c r="C56" s="82" t="n"/>
      <c r="D56" s="82" t="n"/>
    </row>
    <row r="57" ht="16.5" customHeight="1" thickTop="1">
      <c r="B57" s="8" t="n"/>
    </row>
    <row r="58"/>
    <row r="59"/>
    <row r="60"/>
    <row r="61"/>
    <row r="62"/>
    <row r="63"/>
    <row r="64"/>
    <row r="65"/>
    <row r="66"/>
    <row r="67" ht="15.75" customHeight="1" thickBot="1">
      <c r="B67" s="82" t="n"/>
      <c r="C67" s="82" t="n"/>
      <c r="D67" s="82" t="n"/>
    </row>
    <row r="68" ht="16.5" customHeight="1" thickTop="1">
      <c r="B68" s="8" t="n"/>
    </row>
    <row r="69"/>
    <row r="70"/>
    <row r="71"/>
    <row r="72"/>
    <row r="73" ht="15.75" customHeight="1" thickBot="1">
      <c r="B73" s="82" t="n"/>
      <c r="C73" s="82" t="n"/>
      <c r="D73" s="82" t="n"/>
    </row>
    <row r="74" ht="16.5" customHeight="1" thickTop="1">
      <c r="B74" s="8" t="n"/>
    </row>
    <row r="75"/>
    <row r="76"/>
    <row r="77" ht="15.75" customHeight="1" thickBot="1">
      <c r="B77" s="82" t="n"/>
      <c r="C77" s="82" t="n"/>
      <c r="D77" s="82" t="n"/>
    </row>
    <row r="78" ht="16.5" customHeight="1" thickTop="1">
      <c r="B78" s="8" t="n"/>
    </row>
    <row r="79"/>
    <row r="80"/>
    <row r="81"/>
    <row r="82"/>
    <row r="83"/>
    <row r="84"/>
    <row r="85"/>
    <row r="86"/>
    <row r="87" ht="15.75" customHeight="1" thickBot="1">
      <c r="B87" s="82" t="n"/>
      <c r="C87" s="82" t="n"/>
      <c r="D87" s="82" t="n"/>
    </row>
    <row r="88" ht="16.5" customHeight="1" thickTop="1">
      <c r="B88" s="8" t="n"/>
    </row>
    <row r="89"/>
    <row r="90"/>
    <row r="91"/>
    <row r="92" ht="15.75" customHeight="1" thickBot="1">
      <c r="B92" s="82" t="n"/>
      <c r="C92" s="82" t="n"/>
      <c r="D92" s="82" t="n"/>
    </row>
    <row r="93" ht="16.5" customHeight="1" thickTop="1">
      <c r="B93" s="8" t="n"/>
    </row>
    <row r="94"/>
    <row r="95"/>
    <row r="96"/>
    <row r="97" ht="15.75" customHeight="1" thickBot="1">
      <c r="B97" s="82" t="n"/>
      <c r="C97" s="82" t="n"/>
      <c r="D97" s="82" t="n"/>
    </row>
    <row r="98" ht="16.5" customHeight="1" thickTop="1">
      <c r="B98" s="8" t="n"/>
    </row>
    <row r="99" ht="15.75" customHeight="1" thickBot="1">
      <c r="B99" s="83" t="n"/>
      <c r="C99" s="83" t="n"/>
      <c r="D99" s="83" t="n"/>
    </row>
    <row r="100" ht="15.75" customHeight="1" thickTop="1">
      <c r="D100" s="80" t="n"/>
    </row>
    <row r="101">
      <c r="B101" s="79" t="n"/>
      <c r="D101" s="80" t="n"/>
    </row>
    <row r="102">
      <c r="B102" s="79" t="n"/>
      <c r="D102" s="80" t="n"/>
    </row>
    <row r="103">
      <c r="B103" s="79" t="n"/>
      <c r="D103" s="80" t="n"/>
    </row>
    <row r="104">
      <c r="B104" s="79" t="n"/>
      <c r="D104" s="80" t="n"/>
    </row>
    <row r="105">
      <c r="B105" s="79" t="n"/>
    </row>
    <row r="106">
      <c r="B106" s="79" t="n"/>
    </row>
    <row r="107">
      <c r="B107" s="79" t="n"/>
    </row>
    <row r="108">
      <c r="B108" s="79" t="n"/>
    </row>
    <row r="109">
      <c r="B109" s="79" t="n"/>
    </row>
    <row r="110">
      <c r="B110" s="79" t="n"/>
      <c r="D110" s="80" t="n"/>
    </row>
    <row r="111">
      <c r="B111" s="79" t="n"/>
      <c r="D111" s="80" t="n"/>
    </row>
    <row r="112">
      <c r="B112" s="79" t="n"/>
      <c r="D112" s="80" t="n"/>
    </row>
    <row r="113">
      <c r="B113" s="79" t="n"/>
      <c r="D113" s="80" t="n"/>
    </row>
    <row r="114">
      <c r="B114" s="79" t="n"/>
      <c r="D114" s="80" t="n"/>
    </row>
    <row r="115">
      <c r="B115" s="79" t="n"/>
      <c r="D115" s="80" t="n"/>
    </row>
    <row r="116">
      <c r="B116" s="79" t="n"/>
      <c r="D116" s="80" t="n"/>
    </row>
    <row r="117">
      <c r="B117" s="79" t="n"/>
      <c r="D117" s="80" t="n"/>
    </row>
    <row r="118">
      <c r="B118" s="79" t="n"/>
      <c r="D118" s="80" t="n"/>
    </row>
    <row r="119">
      <c r="B119" s="79" t="n"/>
      <c r="D119" s="80" t="n"/>
    </row>
    <row r="120">
      <c r="B120" s="79" t="n"/>
      <c r="D120" s="80" t="n"/>
    </row>
    <row r="121">
      <c r="B121" s="79" t="n"/>
      <c r="D121" s="80" t="n"/>
    </row>
    <row r="122">
      <c r="B122" s="79" t="n"/>
      <c r="D122" s="80" t="n"/>
    </row>
    <row r="123">
      <c r="B123" s="79" t="n"/>
      <c r="D123" s="80" t="n"/>
    </row>
    <row r="124">
      <c r="B124" s="79" t="n"/>
      <c r="D124" s="80" t="n"/>
    </row>
    <row r="125">
      <c r="B125" s="79" t="n"/>
      <c r="D125" s="80" t="n"/>
    </row>
    <row r="126">
      <c r="B126" s="79" t="n"/>
      <c r="D126" s="80" t="n"/>
    </row>
    <row r="127">
      <c r="B127" s="79" t="n"/>
      <c r="D127" s="80" t="n"/>
    </row>
    <row r="128">
      <c r="B128" s="79" t="n"/>
      <c r="D128" s="80" t="n"/>
    </row>
    <row r="129">
      <c r="B129" s="79" t="n"/>
      <c r="D129" s="80" t="n"/>
    </row>
    <row r="130">
      <c r="B130" s="79" t="n"/>
      <c r="D130" s="80" t="n"/>
    </row>
    <row r="131">
      <c r="B131" s="79" t="n"/>
      <c r="D131" s="80" t="n"/>
    </row>
    <row r="132">
      <c r="B132" s="79" t="n"/>
      <c r="D132" s="80" t="n"/>
    </row>
    <row r="133">
      <c r="B133" s="79" t="n"/>
      <c r="D133" s="80" t="n"/>
    </row>
    <row r="134">
      <c r="B134" s="79" t="n"/>
      <c r="D134" s="80" t="n"/>
    </row>
    <row r="135">
      <c r="B135" s="79" t="n"/>
      <c r="D135" s="80" t="n"/>
    </row>
    <row r="136">
      <c r="B136" s="79" t="n"/>
      <c r="D136" s="80" t="n"/>
    </row>
    <row r="137">
      <c r="B137" s="79" t="n"/>
      <c r="D137" s="80" t="n"/>
    </row>
    <row r="138">
      <c r="B138" s="79" t="n"/>
      <c r="D138" s="80" t="n"/>
    </row>
    <row r="139">
      <c r="B139" s="79" t="n"/>
      <c r="D139" s="80" t="n"/>
    </row>
    <row r="140">
      <c r="B140" s="79" t="n"/>
      <c r="D140" s="80" t="n"/>
    </row>
    <row r="141">
      <c r="B141" s="79" t="n"/>
      <c r="D141" s="80" t="n"/>
    </row>
    <row r="142">
      <c r="B142" s="79" t="n"/>
      <c r="D142" s="80" t="n"/>
    </row>
    <row r="143">
      <c r="B143" s="79" t="n"/>
      <c r="D143" s="80" t="n"/>
    </row>
    <row r="144">
      <c r="B144" s="79" t="n"/>
      <c r="D144" s="80" t="n"/>
    </row>
    <row r="145">
      <c r="B145" s="79" t="n"/>
      <c r="D145" s="80" t="n"/>
    </row>
    <row r="146">
      <c r="B146" s="79" t="n"/>
      <c r="D146" s="80" t="n"/>
    </row>
    <row r="147">
      <c r="B147" s="79" t="n"/>
      <c r="D147" s="80" t="n"/>
    </row>
    <row r="148">
      <c r="B148" s="79" t="n"/>
      <c r="D148" s="80" t="n"/>
    </row>
    <row r="149">
      <c r="B149" s="79" t="n"/>
      <c r="D149" s="80" t="n"/>
    </row>
    <row r="150">
      <c r="B150" s="79" t="n"/>
      <c r="D150" s="80" t="n"/>
    </row>
    <row r="151">
      <c r="B151" s="79" t="n"/>
      <c r="D151" s="80" t="n"/>
    </row>
    <row r="152">
      <c r="B152" s="79" t="n"/>
      <c r="D152" s="80" t="n"/>
    </row>
    <row r="153">
      <c r="B153" s="79" t="n"/>
      <c r="D153" s="80" t="n"/>
    </row>
    <row r="154">
      <c r="B154" s="79" t="n"/>
      <c r="D154" s="80" t="n"/>
    </row>
    <row r="155">
      <c r="B155" s="79" t="n"/>
      <c r="D155" s="80" t="n"/>
    </row>
    <row r="156">
      <c r="B156" s="79" t="n"/>
      <c r="C156" s="79" t="n"/>
      <c r="D156" s="79" t="n"/>
      <c r="E156" s="79" t="n"/>
      <c r="F156" s="79" t="n"/>
    </row>
    <row r="157">
      <c r="B157" s="79" t="n"/>
      <c r="C157" s="79" t="n"/>
      <c r="D157" s="79" t="n"/>
      <c r="E157" s="79" t="n"/>
      <c r="F157" s="79" t="n"/>
    </row>
    <row r="158">
      <c r="B158" s="79" t="n"/>
      <c r="C158" s="79" t="n"/>
      <c r="D158" s="79" t="n"/>
      <c r="E158" s="79" t="n"/>
      <c r="F158" s="79" t="n"/>
    </row>
    <row r="159">
      <c r="B159" s="79" t="n"/>
      <c r="C159" s="79" t="n"/>
      <c r="D159" s="79" t="n"/>
      <c r="E159" s="79" t="n"/>
      <c r="F159" s="79" t="n"/>
    </row>
    <row r="160">
      <c r="B160" s="79" t="n"/>
      <c r="C160" s="79" t="n"/>
      <c r="D160" s="79" t="n"/>
      <c r="E160" s="79" t="n"/>
      <c r="F160" s="79" t="n"/>
    </row>
    <row r="161">
      <c r="B161" s="79" t="n"/>
      <c r="C161" s="79" t="n"/>
      <c r="D161" s="79" t="n"/>
      <c r="E161" s="79" t="n"/>
      <c r="F161" s="79" t="n"/>
    </row>
    <row r="162">
      <c r="B162" s="79" t="n"/>
      <c r="C162" s="79" t="n"/>
      <c r="D162" s="79" t="n"/>
      <c r="E162" s="79" t="n"/>
      <c r="F162" s="79" t="n"/>
    </row>
    <row r="163">
      <c r="B163" s="79" t="n"/>
      <c r="C163" s="79" t="n"/>
      <c r="D163" s="79" t="n"/>
      <c r="E163" s="79" t="n"/>
      <c r="F163" s="79" t="n"/>
    </row>
    <row r="164">
      <c r="B164" s="79" t="n"/>
      <c r="C164" s="79" t="n"/>
      <c r="D164" s="79" t="n"/>
      <c r="E164" s="79" t="n"/>
      <c r="F164" s="79" t="n"/>
    </row>
    <row r="165">
      <c r="B165" s="79" t="n"/>
      <c r="C165" s="79" t="n"/>
      <c r="D165" s="79" t="n"/>
      <c r="E165" s="79" t="n"/>
      <c r="F165" s="79" t="n"/>
    </row>
    <row r="166">
      <c r="B166" s="79" t="n"/>
      <c r="C166" s="79" t="n"/>
      <c r="D166" s="79" t="n"/>
      <c r="E166" s="79" t="n"/>
      <c r="F166" s="79" t="n"/>
    </row>
    <row r="167">
      <c r="B167" s="79" t="n"/>
      <c r="C167" s="79" t="n"/>
      <c r="D167" s="79" t="n"/>
      <c r="E167" s="79" t="n"/>
      <c r="F167" s="79" t="n"/>
    </row>
    <row r="168">
      <c r="B168" s="79" t="n"/>
      <c r="C168" s="79" t="n"/>
      <c r="D168" s="79" t="n"/>
      <c r="E168" s="79" t="n"/>
      <c r="F168" s="79" t="n"/>
    </row>
    <row r="169">
      <c r="B169" s="79" t="n"/>
      <c r="C169" s="79" t="n"/>
      <c r="D169" s="79" t="n"/>
      <c r="E169" s="79" t="n"/>
      <c r="F169" s="79" t="n"/>
    </row>
  </sheetData>
  <pageMargins left="0.7086614173228347" right="0.7086614173228347" top="0.7480314960629921" bottom="0.7480314960629921" header="0.3149606299212598" footer="0.3149606299212598"/>
  <pageSetup orientation="portrait" paperSize="9" scale="92" fitToHeight="0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ColWidth="9.140625" defaultRowHeight="15"/>
  <cols>
    <col width="2.85546875" customWidth="1" style="3" min="1" max="1"/>
    <col width="19.7109375" customWidth="1" style="3" min="2" max="2"/>
    <col width="45.85546875" customWidth="1" style="3" min="3" max="3"/>
    <col width="56.140625" customWidth="1" style="3" min="4" max="4"/>
    <col width="9.140625" customWidth="1" style="3" min="5" max="16384"/>
  </cols>
  <sheetData>
    <row r="1"/>
    <row r="2">
      <c r="B2" s="4" t="n"/>
      <c r="C2" s="4" t="n"/>
    </row>
    <row r="3">
      <c r="B3" s="4" t="n"/>
      <c r="C3" s="4" t="n"/>
    </row>
    <row r="4">
      <c r="B4" s="4" t="n"/>
      <c r="C4" s="4" t="n"/>
    </row>
    <row r="5">
      <c r="B5" s="4" t="n"/>
      <c r="C5" s="4" t="n"/>
    </row>
    <row r="6">
      <c r="B6" s="4" t="n"/>
      <c r="C6" s="4" t="n"/>
    </row>
    <row r="7">
      <c r="B7" s="4" t="n"/>
      <c r="C7" s="4" t="n"/>
    </row>
    <row r="8" ht="21" customHeight="1">
      <c r="B8" s="10" t="n"/>
      <c r="C8" s="10" t="n"/>
      <c r="D8" s="11" t="n"/>
    </row>
    <row r="9">
      <c r="B9" s="11" t="n"/>
      <c r="C9" s="11" t="n"/>
      <c r="D9" s="11" t="n"/>
    </row>
    <row r="10">
      <c r="B10" s="11" t="n"/>
      <c r="C10" s="11" t="n"/>
      <c r="D10" s="11" t="n"/>
    </row>
    <row r="11" ht="21" customHeight="1">
      <c r="B11" s="30" t="n"/>
      <c r="C11" s="30" t="n"/>
      <c r="D11" s="38" t="n"/>
    </row>
    <row r="12" ht="30" customHeight="1">
      <c r="B12" s="31" t="n"/>
      <c r="C12" s="11" t="n"/>
      <c r="D12" s="7" t="n"/>
    </row>
    <row r="13" ht="30" customHeight="1">
      <c r="B13" s="84" t="n"/>
      <c r="C13" s="11" t="n"/>
      <c r="D13" s="7" t="n"/>
    </row>
    <row r="14" ht="30" customHeight="1">
      <c r="B14" s="84" t="n"/>
      <c r="C14" s="11" t="n"/>
      <c r="D14" s="7" t="n"/>
    </row>
    <row r="15">
      <c r="B15" s="84" t="n"/>
      <c r="C15" s="11" t="n"/>
      <c r="D15" s="7" t="n"/>
    </row>
    <row r="16">
      <c r="B16" s="84" t="n"/>
      <c r="C16" s="11" t="n"/>
      <c r="D16" s="7" t="n"/>
    </row>
    <row r="17" ht="15.75" customHeight="1" thickBot="1">
      <c r="B17" s="82" t="n"/>
      <c r="C17" s="82" t="n"/>
      <c r="D17" s="82" t="n"/>
    </row>
    <row r="18" ht="16.5" customHeight="1" thickTop="1">
      <c r="B18" s="31" t="n"/>
      <c r="C18" s="11" t="n"/>
      <c r="D18" s="7" t="n"/>
    </row>
    <row r="19" ht="30" customHeight="1">
      <c r="B19" s="84" t="n"/>
      <c r="C19" s="11" t="n"/>
      <c r="D19" s="7" t="n"/>
    </row>
    <row r="20">
      <c r="B20" s="84" t="n"/>
      <c r="C20" s="11" t="n"/>
      <c r="D20" s="7" t="n"/>
    </row>
    <row r="21" ht="30" customHeight="1">
      <c r="B21" s="84" t="n"/>
      <c r="C21" s="11" t="n"/>
      <c r="D21" s="7" t="n"/>
    </row>
    <row r="22" ht="30" customHeight="1">
      <c r="B22" s="84" t="n"/>
      <c r="C22" s="11" t="n"/>
      <c r="D22" s="7" t="n"/>
    </row>
    <row r="23" ht="15.75" customHeight="1" thickBot="1">
      <c r="B23" s="82" t="n"/>
      <c r="C23" s="82" t="n"/>
      <c r="D23" s="82" t="n"/>
    </row>
    <row r="24" ht="16.5" customHeight="1" thickTop="1">
      <c r="A24" s="85" t="n"/>
      <c r="B24" s="31" t="n"/>
      <c r="C24" s="11" t="n"/>
      <c r="D24" s="7" t="n"/>
    </row>
    <row r="25" ht="30" customHeight="1">
      <c r="A25" s="85" t="n"/>
      <c r="B25" s="84" t="n"/>
      <c r="C25" s="11" t="n"/>
      <c r="D25" s="7" t="n"/>
    </row>
    <row r="26" ht="30" customHeight="1">
      <c r="A26" s="85" t="n"/>
      <c r="B26" s="84" t="n"/>
      <c r="C26" s="11" t="n"/>
      <c r="D26" s="7" t="n"/>
    </row>
    <row r="27" ht="15.75" customHeight="1" thickBot="1">
      <c r="B27" s="82" t="n"/>
      <c r="C27" s="82" t="n"/>
      <c r="D27" s="82" t="n"/>
    </row>
    <row r="28" ht="16.5" customHeight="1" thickTop="1">
      <c r="B28" s="31" t="n"/>
      <c r="C28" s="11" t="n"/>
      <c r="D28" s="7" t="n"/>
    </row>
    <row r="29" ht="30" customHeight="1">
      <c r="B29" s="84" t="n"/>
      <c r="C29" s="11" t="n"/>
      <c r="D29" s="7" t="n"/>
    </row>
    <row r="30" ht="30" customHeight="1">
      <c r="B30" s="84" t="n"/>
      <c r="C30" s="11" t="n"/>
      <c r="D30" s="7" t="n"/>
    </row>
    <row r="31" ht="15.75" customHeight="1" thickBot="1">
      <c r="B31" s="82" t="n"/>
      <c r="C31" s="82" t="n"/>
      <c r="D31" s="82" t="n"/>
    </row>
    <row r="32" ht="30.75" customHeight="1" thickTop="1">
      <c r="B32" s="31" t="n"/>
      <c r="C32" s="11" t="n"/>
      <c r="D32" s="7" t="n"/>
    </row>
    <row r="33">
      <c r="B33" s="84" t="n"/>
      <c r="C33" s="11" t="n"/>
      <c r="D33" s="7" t="n"/>
    </row>
    <row r="34">
      <c r="B34" s="84" t="n"/>
      <c r="C34" s="11" t="n"/>
      <c r="D34" s="7" t="n"/>
    </row>
    <row r="35" ht="15.75" customHeight="1" thickBot="1">
      <c r="B35" s="82" t="n"/>
      <c r="C35" s="82" t="n"/>
      <c r="D35" s="82" t="n"/>
    </row>
    <row r="36" ht="45.75" customHeight="1" thickTop="1">
      <c r="B36" s="31" t="n"/>
      <c r="C36" s="11" t="n"/>
      <c r="D36" s="7" t="n"/>
    </row>
    <row r="37" ht="30" customHeight="1">
      <c r="B37" s="84" t="n"/>
      <c r="C37" s="11" t="n"/>
      <c r="D37" s="7" t="n"/>
    </row>
    <row r="38" ht="15.75" customHeight="1" thickBot="1">
      <c r="B38" s="86" t="n"/>
      <c r="C38" s="86" t="n"/>
      <c r="D38" s="87" t="n"/>
    </row>
    <row r="39" ht="15.75" customHeight="1" thickTop="1">
      <c r="B39" s="6" t="n"/>
      <c r="C39" s="6" t="n"/>
      <c r="D39" s="2" t="n"/>
    </row>
    <row r="40">
      <c r="B40" s="6" t="n"/>
      <c r="C40" s="6" t="n"/>
      <c r="D40" s="2" t="n"/>
    </row>
    <row r="41">
      <c r="B41" s="6" t="n"/>
      <c r="C41" s="6" t="n"/>
      <c r="D41" s="2" t="n"/>
    </row>
    <row r="42">
      <c r="B42" s="6" t="n"/>
      <c r="C42" s="6" t="n"/>
      <c r="D42" s="2" t="n"/>
    </row>
    <row r="43">
      <c r="B43" s="6" t="n"/>
      <c r="C43" s="6" t="n"/>
      <c r="D43" s="2" t="n"/>
    </row>
    <row r="44">
      <c r="B44" s="6" t="n"/>
      <c r="C44" s="6" t="n"/>
      <c r="D44" s="2" t="n"/>
    </row>
  </sheetData>
  <pageMargins left="0.7086614173228347" right="0.7086614173228347" top="0.7480314960629921" bottom="0.7480314960629921" header="0.3149606299212598" footer="0.3149606299212598"/>
  <pageSetup orientation="portrait" paperSize="9" scale="70" fitToHeight="0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8">
    <outlinePr summaryBelow="1" summaryRight="1"/>
    <pageSetUpPr/>
  </sheetPr>
  <dimension ref="A1:D27"/>
  <sheetViews>
    <sheetView showGridLines="0" zoomScaleNormal="100" workbookViewId="0">
      <selection activeCell="A1" sqref="A1"/>
    </sheetView>
  </sheetViews>
  <sheetFormatPr baseColWidth="8" defaultColWidth="9.140625" defaultRowHeight="15"/>
  <cols>
    <col width="2.85546875" customWidth="1" style="3" min="1" max="1"/>
    <col width="11.7109375" customWidth="1" style="3" min="2" max="2"/>
    <col width="16.28515625" customWidth="1" style="3" min="3" max="3"/>
    <col width="58.28515625" customWidth="1" style="3" min="4" max="4"/>
    <col width="9.140625" customWidth="1" style="3" min="5" max="16384"/>
  </cols>
  <sheetData>
    <row r="1"/>
    <row r="2">
      <c r="B2" s="4" t="n"/>
      <c r="C2" s="4" t="n"/>
    </row>
    <row r="3">
      <c r="B3" s="4" t="n"/>
      <c r="C3" s="4" t="n"/>
    </row>
    <row r="4">
      <c r="B4" s="4" t="n"/>
      <c r="C4" s="4" t="n"/>
    </row>
    <row r="5">
      <c r="B5" s="4" t="n"/>
      <c r="C5" s="4" t="n"/>
    </row>
    <row r="6">
      <c r="B6" s="4" t="n"/>
      <c r="C6" s="4" t="n"/>
    </row>
    <row r="7">
      <c r="B7" s="4" t="n"/>
      <c r="C7" s="4" t="n"/>
    </row>
    <row r="8" ht="21" customHeight="1">
      <c r="B8" s="10" t="inlineStr">
        <is>
          <t>Likelihood</t>
        </is>
      </c>
      <c r="C8" s="10" t="n"/>
      <c r="D8" s="11" t="n"/>
    </row>
    <row r="9">
      <c r="B9" s="11" t="inlineStr">
        <is>
          <t>This table should be used to decide upon the most appropriate likelihood for a particular threat.</t>
        </is>
      </c>
      <c r="C9" s="11" t="n"/>
      <c r="D9" s="11" t="n"/>
    </row>
    <row r="10">
      <c r="B10" s="11" t="n"/>
      <c r="C10" s="11" t="n"/>
      <c r="D10" s="11" t="n"/>
    </row>
    <row r="11" ht="21" customHeight="1">
      <c r="B11" s="30" t="inlineStr">
        <is>
          <t>LIKELIHOOD</t>
        </is>
      </c>
      <c r="C11" s="30" t="inlineStr">
        <is>
          <t>DESCRIPTION</t>
        </is>
      </c>
      <c r="D11" s="38" t="inlineStr">
        <is>
          <t>SUMMARY</t>
        </is>
      </c>
    </row>
    <row r="12" ht="30" customHeight="1">
      <c r="B12" s="12" t="n">
        <v>1</v>
      </c>
      <c r="C12" s="7" t="inlineStr">
        <is>
          <t>Improbable</t>
        </is>
      </c>
      <c r="D12" s="7" t="inlineStr">
        <is>
          <t>Has never happened before and there is no reason to think it is any more likely now</t>
        </is>
      </c>
    </row>
    <row r="13">
      <c r="B13" s="12" t="n">
        <v>2</v>
      </c>
      <c r="C13" s="7" t="inlineStr">
        <is>
          <t>Unlikely</t>
        </is>
      </c>
      <c r="D13" s="7" t="inlineStr">
        <is>
          <t>There is a possibility that it could happen, but it probably won't</t>
        </is>
      </c>
    </row>
    <row r="14" ht="30" customHeight="1">
      <c r="B14" s="12" t="n">
        <v>3</v>
      </c>
      <c r="C14" s="7" t="inlineStr">
        <is>
          <t>Likely</t>
        </is>
      </c>
      <c r="D14" s="7" t="inlineStr">
        <is>
          <t xml:space="preserve">On balance, the risk is more likely to happen than not
</t>
        </is>
      </c>
    </row>
    <row r="15" ht="30" customHeight="1">
      <c r="B15" s="12" t="n">
        <v>4</v>
      </c>
      <c r="C15" s="7" t="inlineStr">
        <is>
          <t>Very Likely</t>
        </is>
      </c>
      <c r="D15" s="7" t="inlineStr">
        <is>
          <t>It would be a surprise if the risk did not occur either based on past frequency or current circumstances</t>
        </is>
      </c>
    </row>
    <row r="16" ht="30" customHeight="1">
      <c r="B16" s="12" t="n">
        <v>5</v>
      </c>
      <c r="C16" s="7" t="inlineStr">
        <is>
          <t>Almost certain</t>
        </is>
      </c>
      <c r="D16" s="7" t="inlineStr">
        <is>
          <t>Either already happens regularly or there is some reason to believe it is virtually imminent</t>
        </is>
      </c>
    </row>
    <row r="17" ht="15.75" customHeight="1" thickBot="1">
      <c r="B17" s="39" t="n"/>
      <c r="C17" s="39" t="n"/>
      <c r="D17" s="39" t="n"/>
    </row>
    <row r="18" ht="15.75" customHeight="1" thickTop="1"/>
    <row r="19"/>
    <row r="20"/>
    <row r="21"/>
    <row r="22"/>
    <row r="23"/>
    <row r="24">
      <c r="B24" s="6" t="n"/>
      <c r="C24" s="6" t="n"/>
      <c r="D24" s="2" t="n"/>
    </row>
    <row r="25">
      <c r="B25" s="6" t="n"/>
      <c r="C25" s="6" t="n"/>
      <c r="D25" s="2" t="n"/>
    </row>
    <row r="26">
      <c r="B26" s="6" t="n"/>
      <c r="C26" s="6" t="n"/>
      <c r="D26" s="2" t="n"/>
    </row>
    <row r="27">
      <c r="B27" s="6" t="n"/>
      <c r="C27" s="6" t="n"/>
      <c r="D27" s="2" t="n"/>
    </row>
  </sheetData>
  <pageMargins left="0.7086614173228347" right="0.7086614173228347" top="0.7480314960629921" bottom="0.7480314960629921" header="0.3149606299212598" footer="0.3149606299212598"/>
  <pageSetup orientation="landscape" paperSize="9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9">
    <outlinePr summaryBelow="1" summaryRight="1"/>
    <pageSetUpPr fitToPage="1"/>
  </sheetPr>
  <dimension ref="A1:O28"/>
  <sheetViews>
    <sheetView showGridLines="0" workbookViewId="0">
      <selection activeCell="A1" sqref="A1"/>
    </sheetView>
  </sheetViews>
  <sheetFormatPr baseColWidth="8" defaultColWidth="9.140625" defaultRowHeight="15"/>
  <cols>
    <col width="2.85546875" customWidth="1" style="3" min="1" max="1"/>
    <col width="7.42578125" customWidth="1" style="3" min="2" max="2"/>
    <col width="11.28515625" customWidth="1" style="3" min="3" max="3"/>
    <col width="21.42578125" customWidth="1" style="3" min="4" max="7"/>
    <col width="25.42578125" customWidth="1" style="3" min="8" max="8"/>
    <col width="9.140625" customWidth="1" style="3" min="9" max="16384"/>
  </cols>
  <sheetData>
    <row r="1"/>
    <row r="2">
      <c r="B2" s="4" t="n"/>
      <c r="C2" s="4" t="n"/>
    </row>
    <row r="3">
      <c r="B3" s="4" t="n"/>
      <c r="C3" s="4" t="n"/>
    </row>
    <row r="4">
      <c r="B4" s="4" t="n"/>
      <c r="C4" s="4" t="n"/>
    </row>
    <row r="5">
      <c r="B5" s="4" t="n"/>
      <c r="C5" s="4" t="n"/>
    </row>
    <row r="6">
      <c r="B6" s="4" t="n"/>
      <c r="C6" s="4" t="n"/>
    </row>
    <row r="7">
      <c r="B7" s="4" t="n"/>
      <c r="C7" s="4" t="n"/>
    </row>
    <row r="8" ht="21" customHeight="1">
      <c r="B8" s="10" t="inlineStr">
        <is>
          <t>Impact</t>
        </is>
      </c>
      <c r="C8" s="10" t="n"/>
      <c r="D8" s="11" t="n"/>
      <c r="E8" s="11" t="n"/>
      <c r="F8" s="11" t="n"/>
      <c r="G8" s="11" t="n"/>
      <c r="H8" s="11" t="n"/>
    </row>
    <row r="9">
      <c r="B9" s="11" t="inlineStr">
        <is>
          <t>This table should be used as guidance to help to decide upon the correct impact rating for a particular threat.</t>
        </is>
      </c>
      <c r="C9" s="11" t="n"/>
      <c r="D9" s="11" t="n"/>
      <c r="E9" s="11" t="n"/>
      <c r="F9" s="11" t="n"/>
      <c r="G9" s="11" t="n"/>
      <c r="H9" s="11" t="n"/>
    </row>
    <row r="10">
      <c r="B10" s="11" t="n"/>
      <c r="C10" s="11" t="n"/>
      <c r="D10" s="11" t="n"/>
      <c r="E10" s="11" t="n"/>
      <c r="F10" s="11" t="n"/>
      <c r="G10" s="11" t="n"/>
      <c r="H10" s="11" t="n"/>
    </row>
    <row r="11" ht="21" customHeight="1">
      <c r="B11" s="108" t="inlineStr">
        <is>
          <t xml:space="preserve"> IMPACT LEVEL</t>
        </is>
      </c>
      <c r="C11" s="109" t="n"/>
      <c r="D11" s="108" t="inlineStr">
        <is>
          <t xml:space="preserve"> IMPACT AREAS</t>
        </is>
      </c>
      <c r="E11" s="108" t="n"/>
      <c r="F11" s="108" t="n"/>
      <c r="G11" s="108" t="n"/>
      <c r="H11" s="108" t="n"/>
    </row>
    <row r="12" ht="33" customHeight="1">
      <c r="B12" s="115" t="inlineStr">
        <is>
          <t>Impact rating</t>
        </is>
      </c>
      <c r="C12" s="115" t="inlineStr">
        <is>
          <t>General description</t>
        </is>
      </c>
      <c r="D12" s="115" t="inlineStr">
        <is>
          <t>Effect on customers</t>
        </is>
      </c>
      <c r="E12" s="115" t="inlineStr">
        <is>
          <t>Financial cost</t>
        </is>
      </c>
      <c r="F12" s="115" t="inlineStr">
        <is>
          <t>Health and Safety</t>
        </is>
      </c>
      <c r="G12" s="115" t="inlineStr">
        <is>
          <t>Damage to reputation</t>
        </is>
      </c>
      <c r="H12" s="115" t="inlineStr">
        <is>
          <t>Legal, Contractual and Organizational Compliance</t>
        </is>
      </c>
    </row>
    <row r="13" ht="30" customHeight="1">
      <c r="B13" s="13" t="n">
        <v>1</v>
      </c>
      <c r="C13" s="7" t="inlineStr">
        <is>
          <t>Negligible</t>
        </is>
      </c>
      <c r="D13" s="7" t="inlineStr">
        <is>
          <t>No effect</t>
        </is>
      </c>
      <c r="E13" s="2" t="inlineStr">
        <is>
          <t>Very little or none</t>
        </is>
      </c>
      <c r="F13" s="2" t="inlineStr">
        <is>
          <t>Very small additional risk</t>
        </is>
      </c>
      <c r="G13" s="7" t="inlineStr">
        <is>
          <t>Negligible</t>
        </is>
      </c>
      <c r="H13" s="2" t="inlineStr">
        <is>
          <t>No implications</t>
        </is>
      </c>
      <c r="I13" s="2" t="n"/>
      <c r="J13" s="2" t="n"/>
      <c r="K13" s="2" t="n"/>
      <c r="L13" s="2" t="n"/>
      <c r="M13" s="2" t="n"/>
      <c r="N13" s="2" t="n"/>
      <c r="O13" s="2" t="n"/>
    </row>
    <row r="14" ht="45" customHeight="1">
      <c r="B14" s="13" t="n">
        <v>2</v>
      </c>
      <c r="C14" s="7" t="inlineStr">
        <is>
          <t>Slight</t>
        </is>
      </c>
      <c r="D14" s="7" t="inlineStr">
        <is>
          <t>Some local disturbance to normal business operations</t>
        </is>
      </c>
      <c r="E14" s="2" t="inlineStr">
        <is>
          <t>Some</t>
        </is>
      </c>
      <c r="F14" s="2" t="inlineStr">
        <is>
          <t>Within acceptable limits</t>
        </is>
      </c>
      <c r="G14" s="7" t="inlineStr">
        <is>
          <t>Slight</t>
        </is>
      </c>
      <c r="H14" s="2" t="inlineStr">
        <is>
          <t>Small risk of not meeting compliance</t>
        </is>
      </c>
      <c r="I14" s="2" t="n"/>
      <c r="J14" s="2" t="n"/>
      <c r="K14" s="2" t="n"/>
      <c r="L14" s="2" t="n"/>
      <c r="M14" s="2" t="n"/>
      <c r="N14" s="2" t="n"/>
      <c r="O14" s="2" t="n"/>
    </row>
    <row r="15" ht="45" customHeight="1">
      <c r="B15" s="13" t="n">
        <v>3</v>
      </c>
      <c r="C15" s="7" t="inlineStr">
        <is>
          <t>Moderate</t>
        </is>
      </c>
      <c r="D15" s="7" t="inlineStr">
        <is>
          <t>Can still deliver product/service with some difficulty</t>
        </is>
      </c>
      <c r="E15" s="2" t="inlineStr">
        <is>
          <t>Unwelcome but could be borne</t>
        </is>
      </c>
      <c r="F15" s="2" t="inlineStr">
        <is>
          <t>Elevated risk requiring immediate attention</t>
        </is>
      </c>
      <c r="G15" s="7" t="inlineStr">
        <is>
          <t>Moderate</t>
        </is>
      </c>
      <c r="H15" s="2" t="inlineStr">
        <is>
          <t>In definite danger of operating illegally</t>
        </is>
      </c>
      <c r="I15" s="2" t="n"/>
      <c r="J15" s="2" t="n"/>
      <c r="K15" s="2" t="n"/>
      <c r="L15" s="2" t="n"/>
      <c r="M15" s="2" t="n"/>
      <c r="N15" s="2" t="n"/>
      <c r="O15" s="2" t="n"/>
    </row>
    <row r="16" ht="30" customHeight="1">
      <c r="B16" s="13" t="n">
        <v>4</v>
      </c>
      <c r="C16" s="7" t="inlineStr">
        <is>
          <t>High</t>
        </is>
      </c>
      <c r="D16" s="7" t="inlineStr">
        <is>
          <t>Business is crippled in key areas</t>
        </is>
      </c>
      <c r="E16" s="2" t="inlineStr">
        <is>
          <t>Severe effect on income and/or profit</t>
        </is>
      </c>
      <c r="F16" s="2" t="inlineStr">
        <is>
          <t>Significant danger to life</t>
        </is>
      </c>
      <c r="G16" s="7" t="inlineStr">
        <is>
          <t>High</t>
        </is>
      </c>
      <c r="H16" s="2" t="inlineStr">
        <is>
          <t>Operating illegally in some areas</t>
        </is>
      </c>
      <c r="I16" s="2" t="n"/>
      <c r="J16" s="2" t="n"/>
      <c r="K16" s="2" t="n"/>
      <c r="L16" s="2" t="n"/>
      <c r="M16" s="2" t="n"/>
      <c r="N16" s="2" t="n"/>
      <c r="O16" s="2" t="n"/>
    </row>
    <row r="17" ht="45" customHeight="1">
      <c r="B17" s="13" t="n">
        <v>5</v>
      </c>
      <c r="C17" s="7" t="inlineStr">
        <is>
          <t>Very High</t>
        </is>
      </c>
      <c r="D17" s="7" t="inlineStr">
        <is>
          <t>Out of business; no service to customers</t>
        </is>
      </c>
      <c r="E17" s="2" t="inlineStr">
        <is>
          <t>Crippling; the organisation will go out of business</t>
        </is>
      </c>
      <c r="F17" s="2" t="inlineStr">
        <is>
          <t>Real or strong potential loss of life</t>
        </is>
      </c>
      <c r="G17" s="7" t="inlineStr">
        <is>
          <t>Very High</t>
        </is>
      </c>
      <c r="H17" s="2" t="inlineStr">
        <is>
          <t>Severe fines and possible imprisonment of staff</t>
        </is>
      </c>
      <c r="I17" s="2" t="n"/>
      <c r="J17" s="2" t="n"/>
      <c r="K17" s="2" t="n"/>
      <c r="L17" s="2" t="n"/>
      <c r="M17" s="2" t="n"/>
      <c r="N17" s="2" t="n"/>
      <c r="O17" s="2" t="n"/>
    </row>
    <row r="18" ht="15.75" customHeight="1" thickBot="1">
      <c r="B18" s="42" t="n"/>
      <c r="C18" s="42" t="n"/>
      <c r="D18" s="42" t="n"/>
      <c r="E18" s="42" t="n"/>
      <c r="F18" s="42" t="n"/>
      <c r="G18" s="42" t="n"/>
      <c r="H18" s="42" t="n"/>
    </row>
    <row r="19" ht="15.75" customHeight="1" thickTop="1"/>
    <row r="20"/>
    <row r="21"/>
    <row r="22"/>
    <row r="23"/>
    <row r="24"/>
    <row r="25">
      <c r="B25" s="6" t="n"/>
      <c r="C25" s="6" t="n"/>
      <c r="D25" s="2" t="n"/>
    </row>
    <row r="26">
      <c r="B26" s="6" t="n"/>
      <c r="C26" s="6" t="n"/>
      <c r="D26" s="2" t="n"/>
    </row>
    <row r="27">
      <c r="B27" s="6" t="n"/>
      <c r="C27" s="6" t="n"/>
      <c r="D27" s="2" t="n"/>
    </row>
    <row r="28">
      <c r="B28" s="6" t="n"/>
      <c r="C28" s="6" t="n"/>
      <c r="D28" s="2" t="n"/>
    </row>
  </sheetData>
  <pageMargins left="0.7086614173228347" right="0.7086614173228347" top="0.7480314960629921" bottom="0.7480314960629921" header="0.3149606299212598" footer="0.3149606299212598"/>
  <pageSetup orientation="landscape" paperSize="9" scale="99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3">
    <outlinePr summaryBelow="1" summaryRight="1"/>
    <pageSetUpPr/>
  </sheetPr>
  <dimension ref="A1:J26"/>
  <sheetViews>
    <sheetView showGridLines="0" zoomScaleNormal="100" workbookViewId="0">
      <selection activeCell="A1" sqref="A1"/>
    </sheetView>
  </sheetViews>
  <sheetFormatPr baseColWidth="8" defaultRowHeight="15"/>
  <cols>
    <col width="2.85546875" customWidth="1" min="1" max="1"/>
    <col width="15" customWidth="1" min="2" max="3"/>
    <col width="9.140625" customWidth="1" min="4" max="4"/>
    <col width="38.140625" customWidth="1" min="5" max="5"/>
    <col width="16.42578125" customWidth="1" min="7" max="7"/>
    <col width="16.28515625" customWidth="1" min="8" max="8"/>
    <col width="18.42578125" customWidth="1" min="9" max="9"/>
    <col width="11.85546875" customWidth="1" min="10" max="10"/>
    <col width="17.28515625" customWidth="1" min="11" max="11"/>
  </cols>
  <sheetData>
    <row r="1"/>
    <row r="2"/>
    <row r="3"/>
    <row r="4" ht="21" customHeight="1">
      <c r="B4" s="27" t="inlineStr">
        <is>
          <t>Selection Tables</t>
        </is>
      </c>
      <c r="C4" s="27" t="n"/>
    </row>
    <row r="5"/>
    <row r="6" ht="15.75" customHeight="1">
      <c r="B6" s="105" t="inlineStr">
        <is>
          <t>ONE TO FIVE</t>
        </is>
      </c>
      <c r="C6" s="106" t="n"/>
      <c r="E6" s="43" t="inlineStr">
        <is>
          <t>OPTIONS</t>
        </is>
      </c>
      <c r="J6" s="8" t="n"/>
    </row>
    <row r="7">
      <c r="B7" s="5" t="n"/>
      <c r="C7" s="5" t="n"/>
      <c r="D7" s="1" t="n"/>
    </row>
    <row r="8">
      <c r="B8" s="5" t="n">
        <v>1</v>
      </c>
      <c r="C8" s="5" t="n"/>
      <c r="D8" s="1" t="n"/>
      <c r="E8" t="inlineStr">
        <is>
          <t>Accept</t>
        </is>
      </c>
    </row>
    <row r="9">
      <c r="B9" s="5" t="n">
        <v>2</v>
      </c>
      <c r="C9" s="5" t="n"/>
      <c r="D9" s="1" t="n"/>
      <c r="E9" t="inlineStr">
        <is>
          <t>Avoid</t>
        </is>
      </c>
    </row>
    <row r="10">
      <c r="B10" s="5" t="n">
        <v>3</v>
      </c>
      <c r="C10" s="5" t="n"/>
      <c r="D10" s="1" t="n"/>
      <c r="E10" t="inlineStr">
        <is>
          <t>Modify</t>
        </is>
      </c>
    </row>
    <row r="11">
      <c r="B11" s="5" t="n">
        <v>4</v>
      </c>
      <c r="C11" s="5" t="n"/>
      <c r="D11" s="1" t="n"/>
      <c r="E11" t="inlineStr">
        <is>
          <t>Share</t>
        </is>
      </c>
    </row>
    <row r="12">
      <c r="B12" s="5" t="n">
        <v>5</v>
      </c>
      <c r="C12" s="5" t="n"/>
      <c r="D12" s="1" t="n"/>
    </row>
    <row r="13">
      <c r="B13" s="1" t="n"/>
      <c r="C13" s="1" t="n"/>
      <c r="D13" s="1" t="n"/>
    </row>
    <row r="14">
      <c r="B14" s="1" t="n"/>
      <c r="C14" s="1" t="n"/>
      <c r="D14" s="1" t="n"/>
    </row>
    <row r="15">
      <c r="B15" s="43" t="inlineStr">
        <is>
          <t>RISK TYPE</t>
        </is>
      </c>
      <c r="C15" s="44" t="n"/>
      <c r="D15" s="1" t="n"/>
      <c r="E15" s="43" t="inlineStr">
        <is>
          <t>TREATMENT ACTION STATUS</t>
        </is>
      </c>
    </row>
    <row r="16">
      <c r="B16" s="1" t="n"/>
      <c r="C16" s="1" t="n"/>
      <c r="D16" s="1" t="n"/>
    </row>
    <row r="17">
      <c r="B17" s="1" t="inlineStr">
        <is>
          <t>C</t>
        </is>
      </c>
      <c r="C17" s="1" t="n"/>
      <c r="D17" s="1" t="n"/>
      <c r="E17" t="inlineStr">
        <is>
          <t>Not Started</t>
        </is>
      </c>
    </row>
    <row r="18">
      <c r="B18" s="1" t="inlineStr">
        <is>
          <t>I</t>
        </is>
      </c>
      <c r="C18" s="1" t="n"/>
      <c r="D18" s="1" t="n"/>
      <c r="E18" t="inlineStr">
        <is>
          <t>In Progress</t>
        </is>
      </c>
    </row>
    <row r="19">
      <c r="B19" s="1" t="inlineStr">
        <is>
          <t>A</t>
        </is>
      </c>
      <c r="C19" s="1" t="n"/>
      <c r="D19" s="1" t="n"/>
      <c r="E19" t="inlineStr">
        <is>
          <t>Completed</t>
        </is>
      </c>
    </row>
    <row r="20">
      <c r="B20" s="1" t="inlineStr">
        <is>
          <t>CI</t>
        </is>
      </c>
      <c r="C20" s="1" t="n"/>
      <c r="D20" s="1" t="n"/>
      <c r="E20" t="inlineStr">
        <is>
          <t>Rejected</t>
        </is>
      </c>
    </row>
    <row r="21">
      <c r="B21" s="1" t="inlineStr">
        <is>
          <t>CA</t>
        </is>
      </c>
      <c r="C21" s="1" t="n"/>
      <c r="D21" s="1" t="n"/>
    </row>
    <row r="22">
      <c r="B22" s="1" t="inlineStr">
        <is>
          <t>IA</t>
        </is>
      </c>
      <c r="C22" s="1" t="n"/>
    </row>
    <row r="23">
      <c r="B23" s="1" t="inlineStr">
        <is>
          <t>CIA</t>
        </is>
      </c>
      <c r="C23" s="1" t="n"/>
    </row>
    <row r="24">
      <c r="B24" s="1" t="n"/>
      <c r="C24" s="1" t="n"/>
    </row>
    <row r="25">
      <c r="B25" s="1" t="n"/>
      <c r="C25" s="1" t="n"/>
    </row>
    <row r="26">
      <c r="B26" s="1" t="n"/>
      <c r="C26" s="1" t="n"/>
    </row>
  </sheetData>
  <pageMargins left="0.7" right="0.7" top="0.75" bottom="0.75" header="0.3" footer="0.3"/>
  <pageSetup orientation="portrait" paperSize="9" horizontalDpi="0" verticalDpi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9.xml><?xml version="1.0" encoding="utf-8"?>
<worksheet xmlns="http://schemas.openxmlformats.org/spreadsheetml/2006/main">
  <sheetPr codeName="Sheet17"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2.85546875" customWidth="1" min="1" max="1"/>
    <col width="18" bestFit="1" customWidth="1" min="2" max="2"/>
    <col width="16.28515625" bestFit="1" customWidth="1" min="3" max="3"/>
    <col width="11.28515625" bestFit="1" customWidth="1" min="4" max="4"/>
    <col width="5.7109375" bestFit="1" customWidth="1" min="5" max="5"/>
    <col width="11.28515625" bestFit="1" customWidth="1" min="6" max="7"/>
    <col width="11" bestFit="1" customWidth="1" min="8" max="8"/>
    <col width="16.5703125" customWidth="1" min="9" max="9"/>
    <col width="18.5703125" customWidth="1" min="10" max="10"/>
    <col width="22.85546875" customWidth="1" min="11" max="11"/>
    <col width="12.28515625" bestFit="1" customWidth="1" min="12" max="12"/>
    <col width="10.28515625" bestFit="1" customWidth="1" min="13" max="13"/>
    <col width="12.85546875" bestFit="1" customWidth="1" min="14" max="14"/>
    <col width="26.7109375" customWidth="1" min="15" max="15"/>
    <col width="10.85546875" bestFit="1" customWidth="1" min="16" max="16"/>
    <col width="11.28515625" bestFit="1" customWidth="1" min="17" max="17"/>
    <col width="27.7109375" bestFit="1" customWidth="1" min="18" max="18"/>
    <col width="21.5703125" bestFit="1" customWidth="1" min="19" max="19"/>
    <col width="11.28515625" bestFit="1" customWidth="1" min="20" max="20"/>
    <col width="15.28515625" bestFit="1" customWidth="1" min="21" max="21"/>
    <col width="12.85546875" bestFit="1" customWidth="1" min="22" max="22"/>
    <col width="7.85546875" bestFit="1" customWidth="1" min="23" max="23"/>
    <col width="10.5703125" bestFit="1" customWidth="1" min="24" max="24"/>
    <col width="10.85546875" bestFit="1" customWidth="1" min="25" max="25"/>
    <col width="12.140625" bestFit="1" customWidth="1" min="26" max="27"/>
    <col width="11.28515625" bestFit="1" customWidth="1" min="28" max="28"/>
  </cols>
  <sheetData>
    <row r="1"/>
    <row r="2"/>
    <row r="3"/>
    <row r="4" ht="21" customHeight="1">
      <c r="B4" s="27" t="inlineStr">
        <is>
          <t>Pivot Tables</t>
        </is>
      </c>
    </row>
    <row r="5"/>
    <row r="6" ht="15.75" customHeight="1">
      <c r="B6" s="25" t="inlineStr">
        <is>
          <t>Risk Type Table</t>
        </is>
      </c>
      <c r="I6" s="26" t="inlineStr">
        <is>
          <t>Risk Owner Table</t>
        </is>
      </c>
      <c r="J6" s="24" t="n"/>
      <c r="K6" s="24" t="n"/>
      <c r="O6" s="26" t="inlineStr">
        <is>
          <t>Treatment Option Table</t>
        </is>
      </c>
      <c r="R6" s="25" t="inlineStr">
        <is>
          <t>Risks: Pre and Post Treatment</t>
        </is>
      </c>
      <c r="S6" s="9" t="n"/>
      <c r="T6" s="9" t="n"/>
    </row>
    <row r="7"/>
    <row r="8">
      <c r="B8" s="43" t="inlineStr">
        <is>
          <t>Count of Risk Level</t>
        </is>
      </c>
      <c r="C8" s="43" t="inlineStr">
        <is>
          <t>Column Labels</t>
        </is>
      </c>
      <c r="D8" s="43" t="n"/>
      <c r="I8" s="43" t="inlineStr">
        <is>
          <t>Count of Risk Level</t>
        </is>
      </c>
      <c r="J8" s="43" t="inlineStr">
        <is>
          <t>Column Labels</t>
        </is>
      </c>
      <c r="K8" s="43" t="n"/>
      <c r="O8" s="43" t="inlineStr">
        <is>
          <t>Row Labels</t>
        </is>
      </c>
      <c r="R8" t="inlineStr">
        <is>
          <t>Risk level</t>
        </is>
      </c>
      <c r="S8" t="inlineStr">
        <is>
          <t>Pre-Treatment</t>
        </is>
      </c>
      <c r="T8" t="inlineStr">
        <is>
          <t>Post-Treatment</t>
        </is>
      </c>
    </row>
    <row r="9">
      <c r="B9" s="43" t="inlineStr">
        <is>
          <t>Row Labels</t>
        </is>
      </c>
      <c r="C9" s="43" t="inlineStr">
        <is>
          <t>Calculated</t>
        </is>
      </c>
      <c r="D9" s="43" t="inlineStr">
        <is>
          <t>Grand Total</t>
        </is>
      </c>
      <c r="I9" s="43" t="inlineStr">
        <is>
          <t>Row Labels</t>
        </is>
      </c>
      <c r="J9" s="43" t="inlineStr">
        <is>
          <t>Calculated</t>
        </is>
      </c>
      <c r="K9" s="43" t="inlineStr">
        <is>
          <t>Grand Total</t>
        </is>
      </c>
      <c r="O9" s="5" t="n"/>
      <c r="R9" t="inlineStr">
        <is>
          <t xml:space="preserve"> Low</t>
        </is>
      </c>
      <c r="S9">
        <f>COUNTIF(RiskAssessment[Risk Level],Table1[[#This Row],[Risk level]])</f>
        <v/>
      </c>
      <c r="T9">
        <f>COUNTIF(RiskAssessment[Post-Treatment Risk Level],Table1[[#This Row],[Risk level]])</f>
        <v/>
      </c>
    </row>
    <row r="10">
      <c r="B10" s="5" t="n"/>
      <c r="C10" s="71" t="n">
        <v>20</v>
      </c>
      <c r="D10" s="71" t="n">
        <v>20</v>
      </c>
      <c r="I10" s="5" t="inlineStr">
        <is>
          <t>(blank)</t>
        </is>
      </c>
      <c r="J10" t="n">
        <v>20</v>
      </c>
      <c r="K10" t="n">
        <v>20</v>
      </c>
      <c r="O10" s="105" t="inlineStr">
        <is>
          <t>Grand Total</t>
        </is>
      </c>
      <c r="R10" t="inlineStr">
        <is>
          <t xml:space="preserve"> Medium</t>
        </is>
      </c>
      <c r="S10">
        <f>COUNTIF(RiskAssessment[Risk Level],Table1[[#This Row],[Risk level]])</f>
        <v/>
      </c>
      <c r="T10">
        <f>COUNTIF(RiskAssessment[Post-Treatment Risk Level],Table1[[#This Row],[Risk level]])</f>
        <v/>
      </c>
    </row>
    <row r="11">
      <c r="B11" s="105" t="inlineStr">
        <is>
          <t>Grand Total</t>
        </is>
      </c>
      <c r="C11" s="107" t="n">
        <v>20</v>
      </c>
      <c r="D11" s="107" t="n">
        <v>20</v>
      </c>
      <c r="I11" s="105" t="inlineStr">
        <is>
          <t>Grand Total</t>
        </is>
      </c>
      <c r="J11" s="43" t="n">
        <v>20</v>
      </c>
      <c r="K11" s="43" t="n">
        <v>20</v>
      </c>
      <c r="R11" t="inlineStr">
        <is>
          <t xml:space="preserve"> High</t>
        </is>
      </c>
      <c r="S11">
        <f>COUNTIF(RiskAssessment[Risk Level],Table1[[#This Row],[Risk level]])</f>
        <v/>
      </c>
      <c r="T11">
        <f>COUNTIF(RiskAssessment[Post-Treatment Risk Level],Table1[[#This Row],[Risk level]])</f>
        <v/>
      </c>
    </row>
    <row r="12"/>
    <row r="13">
      <c r="R13" s="25" t="inlineStr">
        <is>
          <t>Treatment Cost Table</t>
        </is>
      </c>
    </row>
    <row r="14"/>
    <row r="15">
      <c r="R15" s="43" t="inlineStr">
        <is>
          <t>Row Labels</t>
        </is>
      </c>
      <c r="S15" s="43" t="inlineStr">
        <is>
          <t>Sum of Treatment Cost</t>
        </is>
      </c>
    </row>
    <row r="16">
      <c r="R16" s="5" t="inlineStr">
        <is>
          <t>Calculated</t>
        </is>
      </c>
      <c r="S16" t="n">
        <v>0</v>
      </c>
    </row>
    <row r="17">
      <c r="R17" s="105" t="inlineStr">
        <is>
          <t>Grand Total</t>
        </is>
      </c>
      <c r="S17" s="43" t="n">
        <v>0</v>
      </c>
    </row>
    <row r="18">
      <c r="E18" s="24" t="n"/>
      <c r="F18" s="24" t="n"/>
      <c r="G18" s="24" t="n"/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Copyright CertiKit</dc:creator>
  <dc:title xmlns:dc="http://purl.org/dc/elements/1.1/">CertiKit ISO27001 Toolkit</dc:titl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2026-09-17T09:36:58Z</dcterms:modified>
  <cp:lastModifiedBy>Mark Clifton</cp:lastModifiedBy>
  <cp:lastPrinted>2021-04-08T15:32:27Z</cp:lastPrinted>
</cp:coreProperties>
</file>

<file path=docProps/custom.xml><?xml version="1.0" encoding="utf-8"?>
<Properties xmlns="http://schemas.openxmlformats.org/officeDocument/2006/custom-properties">
  <property name="Order" fmtid="{D5CDD505-2E9C-101B-9397-08002B2CF9AE}" pid="2">
    <vt:r8 xmlns:vt="http://schemas.openxmlformats.org/officeDocument/2006/docPropsVTypes">1274300</vt:r8>
  </property>
  <property name="ContentTypeId" fmtid="{D5CDD505-2E9C-101B-9397-08002B2CF9AE}" pid="3">
    <vt:lpwstr xmlns:vt="http://schemas.openxmlformats.org/officeDocument/2006/docPropsVTypes">0x010100DA843292D49187418BD21D9C97EA6F65</vt:lpwstr>
  </property>
  <property name="ComplianceAssetId" fmtid="{D5CDD505-2E9C-101B-9397-08002B2CF9AE}" pid="4">
    <vt:lpwstr xmlns:vt="http://schemas.openxmlformats.org/officeDocument/2006/docPropsVTypes"/>
  </property>
  <property name="_ExtendedDescription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  <property name="MediaServiceImageTags" fmtid="{D5CDD505-2E9C-101B-9397-08002B2CF9AE}" pid="7">
    <vt:lpwstr xmlns:vt="http://schemas.openxmlformats.org/officeDocument/2006/docPropsVTypes"/>
  </property>
</Properties>
</file>