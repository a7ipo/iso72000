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8.xml" ContentType="application/vnd.openxmlformats-officedocument.spreadsheetml.worksheet+xml"/>
  <Override PartName="/xl/pivotTables/pivotTable3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915" firstSheet="0" activeTab="0" autoFilterDateGrouping="1"/>
  </bookViews>
  <sheets>
    <sheet xmlns:r="http://schemas.openxmlformats.org/officeDocument/2006/relationships" name="Guidance" sheetId="1" state="visible" r:id="rId1"/>
    <sheet xmlns:r="http://schemas.openxmlformats.org/officeDocument/2006/relationships" name="Version" sheetId="2" state="visible" r:id="rId2"/>
    <sheet xmlns:r="http://schemas.openxmlformats.org/officeDocument/2006/relationships" name="ISO27001 Annex A Applicability" sheetId="3" state="visible" r:id="rId3"/>
    <sheet xmlns:r="http://schemas.openxmlformats.org/officeDocument/2006/relationships" name="ISO27001 Annex A Dashboard" sheetId="4" state="visible" r:id="rId4"/>
    <sheet xmlns:r="http://schemas.openxmlformats.org/officeDocument/2006/relationships" name="ISO27001 Applicability Table" sheetId="5" state="hidden" r:id="rId5"/>
    <sheet xmlns:r="http://schemas.openxmlformats.org/officeDocument/2006/relationships" name="ISO27001 Results Chart" sheetId="6" state="hidden" r:id="rId6"/>
    <sheet xmlns:r="http://schemas.openxmlformats.org/officeDocument/2006/relationships" name="ISO27001 % Results Chart" sheetId="7" state="hidden" r:id="rId7"/>
    <sheet xmlns:r="http://schemas.openxmlformats.org/officeDocument/2006/relationships" name="ISO27001 % Radar Chart" sheetId="8" state="hidden" r:id="rId8"/>
  </sheets>
  <definedNames>
    <definedName name="_xlnm.Print_Area" localSheetId="0">'Guidance'!$B$2:$B$26</definedName>
    <definedName name="_xlnm.Print_Titles" localSheetId="2">'ISO27001 Annex A Applicability'!$12:$12</definedName>
  </definedNames>
  <calcPr calcId="191029" fullCalcOnLoad="1"/>
  <pivotCaches>
    <pivotCache xmlns:r="http://schemas.openxmlformats.org/officeDocument/2006/relationships" cacheId="20" r:id="rId9"/>
  </pivotCaches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444444"/>
      <sz val="11"/>
      <scheme val="minor"/>
    </font>
    <font>
      <name val="Calibri"/>
      <family val="2"/>
      <i val="1"/>
      <color rgb="FF444444"/>
      <sz val="11"/>
      <scheme val="minor"/>
    </font>
    <font>
      <name val="Calibri"/>
      <family val="2"/>
      <b val="1"/>
      <color rgb="FF444444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2" tint="-0.499984740745262"/>
      <sz val="18"/>
      <scheme val="minor"/>
    </font>
    <font>
      <name val="Calibri"/>
      <family val="2"/>
      <b val="1"/>
      <color theme="2" tint="-0.499984740745262"/>
      <sz val="16"/>
      <scheme val="minor"/>
    </font>
    <font>
      <name val="Calibri"/>
      <family val="2"/>
      <b val="1"/>
      <color rgb="FF444444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444444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sz val="8"/>
      <scheme val="minor"/>
    </font>
    <font>
      <name val="Calibri"/>
      <family val="2"/>
      <color rgb="FF444444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4">
    <xf numFmtId="0" fontId="13" fillId="0" borderId="0"/>
    <xf numFmtId="0" fontId="1" fillId="0" borderId="1"/>
    <xf numFmtId="0" fontId="2" fillId="0" borderId="2"/>
    <xf numFmtId="9" fontId="13" fillId="0" borderId="0"/>
  </cellStyleXfs>
  <cellXfs count="67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7" fillId="0" borderId="3" applyAlignment="1" pivotButton="0" quotePrefix="0" xfId="0">
      <alignment vertical="top" wrapText="1"/>
    </xf>
    <xf numFmtId="0" fontId="8" fillId="3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horizontal="center" vertical="top"/>
      <protection locked="0" hidden="0"/>
    </xf>
    <xf numFmtId="0" fontId="7" fillId="3" borderId="0" applyAlignment="1" pivotButton="0" quotePrefix="0" xfId="0">
      <alignment horizontal="right" vertical="top" wrapText="1"/>
    </xf>
    <xf numFmtId="0" fontId="7" fillId="3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1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 wrapText="1"/>
    </xf>
    <xf numFmtId="9" fontId="0" fillId="0" borderId="0" applyAlignment="1" pivotButton="0" quotePrefix="0" xfId="0">
      <alignment horizontal="left" vertical="top" wrapText="1"/>
    </xf>
    <xf numFmtId="9" fontId="8" fillId="0" borderId="0" applyAlignment="1" pivotButton="0" quotePrefix="0" xfId="0">
      <alignment horizontal="left" vertical="top" wrapText="1"/>
    </xf>
    <xf numFmtId="9" fontId="0" fillId="0" borderId="0" applyAlignment="1" pivotButton="0" quotePrefix="0" xfId="3">
      <alignment horizontal="center" vertical="top" wrapText="1"/>
    </xf>
    <xf numFmtId="9" fontId="8" fillId="0" borderId="0" applyAlignment="1" pivotButton="0" quotePrefix="0" xfId="0">
      <alignment horizontal="center" vertical="top" wrapText="1"/>
    </xf>
    <xf numFmtId="0" fontId="16" fillId="0" borderId="0" pivotButton="0" quotePrefix="0" xfId="0"/>
    <xf numFmtId="0" fontId="16" fillId="0" borderId="0" applyAlignment="1" pivotButton="0" quotePrefix="0" xfId="0">
      <alignment vertical="top"/>
    </xf>
    <xf numFmtId="0" fontId="17" fillId="2" borderId="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9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9" fontId="7" fillId="0" borderId="0" applyAlignment="1" pivotButton="0" quotePrefix="0" xfId="0">
      <alignment horizontal="center" vertical="top"/>
    </xf>
    <xf numFmtId="0" fontId="5" fillId="2" borderId="0" applyAlignment="1" pivotButton="0" quotePrefix="0" xfId="0">
      <alignment horizontal="center" vertical="top"/>
    </xf>
    <xf numFmtId="9" fontId="0" fillId="0" borderId="0" applyAlignment="1" pivotButton="0" quotePrefix="0" xfId="0">
      <alignment horizontal="center" vertical="top" wrapText="1"/>
    </xf>
    <xf numFmtId="0" fontId="16" fillId="2" borderId="0" applyAlignment="1" pivotButton="0" quotePrefix="0" xfId="0">
      <alignment vertical="top"/>
    </xf>
    <xf numFmtId="0" fontId="16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17" fillId="2" borderId="0" applyAlignment="1" pivotButton="0" quotePrefix="0" xfId="0">
      <alignment horizontal="left" vertical="top" readingOrder="1"/>
    </xf>
    <xf numFmtId="0" fontId="0" fillId="0" borderId="0" applyAlignment="1" pivotButton="0" quotePrefix="0" xfId="0">
      <alignment wrapText="1"/>
    </xf>
    <xf numFmtId="0" fontId="16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 wrapText="1"/>
    </xf>
    <xf numFmtId="9" fontId="0" fillId="0" borderId="0" applyAlignment="1" pivotButton="0" quotePrefix="0" xfId="0">
      <alignment horizontal="left" vertical="center" wrapText="1"/>
    </xf>
    <xf numFmtId="9" fontId="0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readingOrder="1"/>
    </xf>
    <xf numFmtId="9" fontId="5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0" fillId="0" borderId="0" pivotButton="0" quotePrefix="0" xfId="0"/>
    <xf numFmtId="0" fontId="9" fillId="0" borderId="0" pivotButton="0" quotePrefix="0" xfId="0"/>
    <xf numFmtId="0" fontId="19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/>
    </xf>
  </cellXfs>
  <cellStyles count="4">
    <cellStyle name="Normal" xfId="0" builtinId="0"/>
    <cellStyle name="Heading 1" xfId="1" builtinId="16"/>
    <cellStyle name="Heading 2" xfId="2" builtinId="17"/>
    <cellStyle name="Percent" xfId="3" builtinId="5"/>
  </cellStyles>
  <dxfs count="90"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alignment vertical="top"/>
    </dxf>
    <dxf>
      <alignment vertical="top"/>
    </dxf>
    <dxf>
      <alignment wrapText="1"/>
    </dxf>
    <dxf>
      <numFmt numFmtId="13" formatCode="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3" formatCode="0%"/>
      <alignment horizontal="center" vertical="top" wrapText="1"/>
    </dxf>
    <dxf>
      <alignment horizontal="center" vertical="top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</dxf>
    <dxf>
      <alignment horizontal="center" vertical="top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3" formatCode="0%"/>
      <alignment horizontal="left" vertical="top" wrapText="1"/>
    </dxf>
    <dxf>
      <alignment horizontal="left" vertical="top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</dxf>
    <dxf>
      <alignment horizontal="center" vertical="top" wrapText="1"/>
    </dxf>
    <dxf>
      <font>
        <name val="Calibri"/>
        <family val="2"/>
        <b val="1"/>
        <strike val="0"/>
        <outline val="0"/>
        <shadow val="0"/>
        <condense val="0"/>
        <color rgb="FF444444"/>
        <extend val="0"/>
        <sz val="11"/>
        <vertAlign val="baseline"/>
        <scheme val="minor"/>
      </font>
      <alignment horizontal="center" vertical="top"/>
    </dxf>
    <dxf>
      <font>
        <color rgb="FF444444"/>
      </font>
      <alignment horizontal="center" vertical="top"/>
    </dxf>
    <dxf>
      <font>
        <name val="Calibri"/>
        <family val="2"/>
        <b val="1"/>
        <strike val="0"/>
        <outline val="0"/>
        <shadow val="0"/>
        <condense val="0"/>
        <color rgb="FF444444"/>
        <extend val="0"/>
        <sz val="11"/>
        <vertAlign val="baseline"/>
        <scheme val="minor"/>
      </font>
      <alignment horizontal="left" vertical="top" wrapText="1"/>
    </dxf>
    <dxf>
      <font>
        <name val="Calibri"/>
        <family val="2"/>
        <strike val="0"/>
        <outline val="0"/>
        <shadow val="0"/>
        <condense val="0"/>
        <color rgb="FF444444"/>
        <extend val="0"/>
        <sz val="11"/>
        <vertAlign val="baseline"/>
        <scheme val="minor"/>
      </font>
      <alignment horizontal="left" vertical="top" wrapText="1"/>
    </dxf>
    <dxf>
      <font>
        <b val="1"/>
      </font>
    </dxf>
    <dxf>
      <alignment horizontal="left" vertical="top" wrapText="1"/>
    </dxf>
    <dxf>
      <alignment horizontal="left" vertical="top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3" formatCode="0%"/>
      <alignment horizontal="center" vertical="top" wrapText="1"/>
    </dxf>
    <dxf>
      <alignment horizontal="center" vertical="top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</dxf>
    <dxf>
      <alignment horizontal="center" vertical="top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3" formatCode="0%"/>
      <alignment horizontal="center" vertical="top" wrapText="1"/>
    </dxf>
    <dxf>
      <alignment horizontal="center" vertical="top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</dxf>
    <dxf>
      <alignment horizontal="center" vertical="top" wrapText="1"/>
    </dxf>
    <dxf>
      <font>
        <name val="Calibri"/>
        <family val="2"/>
        <b val="1"/>
        <strike val="0"/>
        <outline val="0"/>
        <shadow val="0"/>
        <condense val="0"/>
        <color rgb="FF444444"/>
        <extend val="0"/>
        <sz val="11"/>
        <vertAlign val="baseline"/>
        <scheme val="minor"/>
      </font>
      <alignment horizontal="center" vertical="top"/>
    </dxf>
    <dxf>
      <font>
        <color rgb="FF444444"/>
      </font>
      <alignment horizontal="center" vertical="top"/>
    </dxf>
    <dxf>
      <font>
        <name val="Calibri"/>
        <family val="2"/>
        <b val="1"/>
        <strike val="0"/>
        <outline val="0"/>
        <shadow val="0"/>
        <condense val="0"/>
        <color rgb="FF444444"/>
        <extend val="0"/>
        <sz val="11"/>
        <vertAlign val="baseline"/>
        <scheme val="minor"/>
      </font>
      <alignment horizontal="left" vertical="top" wrapText="1"/>
    </dxf>
    <dxf>
      <font>
        <name val="Calibri"/>
        <family val="2"/>
        <strike val="0"/>
        <outline val="0"/>
        <shadow val="0"/>
        <condense val="0"/>
        <color rgb="FF444444"/>
        <extend val="0"/>
        <sz val="11"/>
        <vertAlign val="baseline"/>
        <scheme val="minor"/>
      </font>
      <alignment horizontal="left" vertical="top" wrapText="1"/>
    </dxf>
    <dxf>
      <font>
        <b val="1"/>
      </font>
    </dxf>
    <dxf>
      <alignment horizontal="left" vertical="top" wrapText="1"/>
    </dxf>
    <dxf>
      <alignment horizontal="left" vertical="top" wrapText="1"/>
    </dxf>
    <dxf>
      <font>
        <color theme="1"/>
      </font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"/>
        </vertical>
        <horizontal/>
      </border>
    </dxf>
    <dxf>
      <font>
        <color theme="1"/>
      </font>
      <fill>
        <patternFill>
          <bgColor theme="2"/>
        </patternFill>
      </fill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"/>
        </vertical>
        <horizontal/>
      </border>
    </dxf>
    <dxf>
      <font>
        <b val="1"/>
        <color theme="0"/>
      </font>
      <fill>
        <patternFill>
          <bgColor theme="2" tint="-0.499984740745262"/>
        </patternFill>
      </fill>
    </dxf>
    <dxf>
      <font>
        <color theme="1"/>
      </font>
    </dxf>
    <dxf>
      <font>
        <b val="1"/>
        <color theme="0"/>
      </font>
      <fill>
        <patternFill>
          <bgColor rgb="FF009BA4"/>
        </patternFill>
      </fill>
      <border>
        <bottom style="thin">
          <color theme="4"/>
        </bottom>
        <vertical/>
        <horizontal/>
      </border>
    </dxf>
    <dxf>
      <font>
        <color rgb="FF444444"/>
      </font>
      <border>
        <left style="thin">
          <color rgb="FF009BA4"/>
        </left>
        <right style="thin">
          <color rgb="FF009BA4"/>
        </right>
        <top style="thin">
          <color rgb="FF009BA4"/>
        </top>
        <bottom style="thin">
          <color rgb="FF009BA4"/>
        </bottom>
        <vertical/>
        <horizontal/>
      </border>
    </dxf>
  </dxfs>
  <tableStyles count="2" defaultTableStyle="CertiKit table style" defaultPivotStyle="PivotStyleLight16">
    <tableStyle name="CertiKit Slicer" pivot="0" table="0" count="10">
      <tableStyleElement type="wholeTable" dxfId="89"/>
      <tableStyleElement type="headerRow" dxfId="88"/>
    </tableStyle>
    <tableStyle name="CertiKit table style" pivot="0" count="4">
      <tableStyleElement type="wholeTable" dxfId="87"/>
      <tableStyleElement type="headerRow" dxfId="86"/>
      <tableStyleElement type="firstRowStripe" dxfId="85"/>
      <tableStyleElement type="secondRowStripe" dxfId="84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pivotCacheDefinition" Target="/xl/pivotCache/pivotCacheDefinition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pivotSource>
    <name>[ISMS-FORM-06-2 Statement of Applicability.xlsx]ISO27001 Results Chart!ISO27001ApplicabilityTableResults</name>
    <fmtId val="2"/>
  </pivotSource>
  <chart>
    <pivotFmts>
      <pivotFmt>
        <idx val="0"/>
        <spPr>
          <a:solidFill xmlns:a="http://schemas.openxmlformats.org/drawingml/2006/main">
            <a:schemeClr val="bg2">
              <a:lumMod val="25000"/>
            </a:schemeClr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bg2">
              <a:lumMod val="90000"/>
            </a:schemeClr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7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8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9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7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8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9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2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2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2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2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2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2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2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27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28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9"/>
        <spPr>
          <a:solidFill xmlns:a="http://schemas.openxmlformats.org/drawingml/2006/main">
            <a:schemeClr val="bg2">
              <a:lumMod val="25000"/>
            </a:schemeClr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30"/>
        <spPr>
          <a:solidFill xmlns:a="http://schemas.openxmlformats.org/drawingml/2006/main">
            <a:schemeClr val="bg2">
              <a:lumMod val="90000"/>
            </a:schemeClr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31"/>
        <spPr>
          <a:solidFill xmlns:a="http://schemas.openxmlformats.org/drawingml/2006/main">
            <a:schemeClr val="bg2">
              <a:lumMod val="25000"/>
            </a:schemeClr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32"/>
        <spPr>
          <a:solidFill xmlns:a="http://schemas.openxmlformats.org/drawingml/2006/main">
            <a:schemeClr val="bg2">
              <a:lumMod val="75000"/>
            </a:schemeClr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'ISO27001 Results Chart'!$C$6</f>
              <strCache>
                <ptCount val="1"/>
                <pt idx="0">
                  <v xml:space="preserve">APPLICABLE CONTROLS </v>
                </pt>
              </strCache>
            </strRef>
          </tx>
          <spPr>
            <a:solidFill xmlns:a="http://schemas.openxmlformats.org/drawingml/2006/main">
              <a:schemeClr val="bg2">
                <a:lumMod val="2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'ISO27001 Results Chart'!$B$7:$B$10</f>
              <strCache>
                <ptCount val="4"/>
                <pt idx="0">
                  <v>A.8 Technological controls</v>
                </pt>
                <pt idx="1">
                  <v>A.7 Physical controls</v>
                </pt>
                <pt idx="2">
                  <v>A.6 People controls</v>
                </pt>
                <pt idx="3">
                  <v>A.5 Organizational controls</v>
                </pt>
              </strCache>
            </strRef>
          </cat>
          <val>
            <numRef>
              <f>'ISO27001 Results Chart'!$C$7:$C$10</f>
              <numCache>
                <formatCode>General</formatCode>
                <ptCount val="4"/>
                <pt idx="0">
                  <v>34</v>
                </pt>
                <pt idx="1">
                  <v>14</v>
                </pt>
                <pt idx="2">
                  <v>8</v>
                </pt>
                <pt idx="3">
                  <v>37</v>
                </pt>
              </numCache>
            </numRef>
          </val>
        </ser>
        <ser>
          <idx val="1"/>
          <order val="1"/>
          <tx>
            <strRef>
              <f>'ISO27001 Results Chart'!$D$6</f>
              <strCache>
                <ptCount val="1"/>
                <pt idx="0">
                  <v xml:space="preserve">CONTROLS IMPLEMENTED </v>
                </pt>
              </strCache>
            </strRef>
          </tx>
          <spPr>
            <a:solidFill xmlns:a="http://schemas.openxmlformats.org/drawingml/2006/main">
              <a:schemeClr val="bg2">
                <a:lumMod val="7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'ISO27001 Results Chart'!$B$7:$B$10</f>
              <strCache>
                <ptCount val="4"/>
                <pt idx="0">
                  <v>A.8 Technological controls</v>
                </pt>
                <pt idx="1">
                  <v>A.7 Physical controls</v>
                </pt>
                <pt idx="2">
                  <v>A.6 People controls</v>
                </pt>
                <pt idx="3">
                  <v>A.5 Organizational controls</v>
                </pt>
              </strCache>
            </strRef>
          </cat>
          <val>
            <numRef>
              <f>'ISO27001 Results Chart'!$D$7:$D$10</f>
              <numCache>
                <formatCode>General</formatCode>
                <ptCount val="4"/>
                <pt idx="0">
                  <v>34</v>
                </pt>
                <pt idx="1">
                  <v>14</v>
                </pt>
                <pt idx="2">
                  <v>8</v>
                </pt>
                <pt idx="3">
                  <v>37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0"/>
        <axId val="1313755320"/>
        <axId val="1313755976"/>
      </barChart>
      <catAx>
        <axId val="1313755320"/>
        <scaling>
          <orientation val="minMax"/>
        </scaling>
        <delete val="0"/>
        <axPos val="l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13755976"/>
        <crosses val="autoZero"/>
        <auto val="1"/>
        <lblAlgn val="ctr"/>
        <lblOffset val="100"/>
        <noMultiLvlLbl val="0"/>
      </catAx>
      <valAx>
        <axId val="131375597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13755320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pivotSource>
    <name>[ISMS-FORM-06-2 Statement of Applicability.xlsx]ISO27001 % Radar Chart!ISO27001%RadarPivot</name>
    <fmtId val="2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ln xmlns:a="http://schemas.openxmlformats.org/drawingml/2006/main" w="28575" cap="rnd">
            <a:solidFill>
              <a:schemeClr val="bg2">
                <a:lumMod val="75000"/>
              </a:schemeClr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ln xmlns:a="http://schemas.openxmlformats.org/drawingml/2006/main" w="28575" cap="rnd">
            <a:solidFill>
              <a:schemeClr val="bg2">
                <a:lumMod val="25000"/>
              </a:schemeClr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bg2">
                <a:lumMod val="75000"/>
              </a:schemeClr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7"/>
        <spPr>
          <a:ln xmlns:a="http://schemas.openxmlformats.org/drawingml/2006/main" w="28575" cap="rnd">
            <a:solidFill>
              <a:schemeClr val="bg2">
                <a:lumMod val="75000"/>
              </a:schemeClr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</pivotFmt>
    </pivotFmts>
    <plotArea>
      <layout/>
      <radarChart>
        <radarStyle val="marker"/>
        <varyColors val="0"/>
        <ser>
          <idx val="0"/>
          <order val="0"/>
          <tx>
            <strRef>
              <f>'ISO27001 % Radar Chart'!$C$6</f>
              <strCache>
                <ptCount val="1"/>
                <pt idx="0">
                  <v xml:space="preserve">% APP CONTROLS IMPLEMENTED </v>
                </pt>
              </strCache>
            </strRef>
          </tx>
          <spPr>
            <a:ln xmlns:a="http://schemas.openxmlformats.org/drawingml/2006/main" w="28575" cap="rnd">
              <a:solidFill>
                <a:schemeClr val="bg2">
                  <a:lumMod val="7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'ISO27001 % Radar Chart'!$B$7:$B$10</f>
              <strCache>
                <ptCount val="4"/>
                <pt idx="0">
                  <v>A.5 Organizational controls</v>
                </pt>
                <pt idx="1">
                  <v>A.6 People controls</v>
                </pt>
                <pt idx="2">
                  <v>A.7 Physical controls</v>
                </pt>
                <pt idx="3">
                  <v>A.8 Technological controls</v>
                </pt>
              </strCache>
            </strRef>
          </cat>
          <val>
            <numRef>
              <f>'ISO27001 % Radar Chart'!$C$7:$C$10</f>
              <numCache>
                <formatCode>0%</formatCode>
                <ptCount val="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</numCache>
            </numRef>
          </val>
        </ser>
        <ser>
          <idx val="1"/>
          <order val="1"/>
          <tx>
            <strRef>
              <f>'ISO27001 % Radar Chart'!$D$6</f>
              <strCache>
                <ptCount val="1"/>
                <pt idx="0">
                  <v xml:space="preserve">% CONTROLS APPLICABLE </v>
                </pt>
              </strCache>
            </strRef>
          </tx>
          <spPr>
            <a:ln xmlns:a="http://schemas.openxmlformats.org/drawingml/2006/main" w="28575" cap="rnd">
              <a:solidFill>
                <a:schemeClr val="bg2">
                  <a:lumMod val="2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'ISO27001 % Radar Chart'!$B$7:$B$10</f>
              <strCache>
                <ptCount val="4"/>
                <pt idx="0">
                  <v>A.5 Organizational controls</v>
                </pt>
                <pt idx="1">
                  <v>A.6 People controls</v>
                </pt>
                <pt idx="2">
                  <v>A.7 Physical controls</v>
                </pt>
                <pt idx="3">
                  <v>A.8 Technological controls</v>
                </pt>
              </strCache>
            </strRef>
          </cat>
          <val>
            <numRef>
              <f>'ISO27001 % Radar Chart'!$D$7:$D$10</f>
              <numCache>
                <formatCode>0%</formatCode>
                <ptCount val="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224042832"/>
        <axId val="1224050704"/>
      </radarChart>
      <catAx>
        <axId val="12240428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24050704"/>
        <crosses val="autoZero"/>
        <auto val="1"/>
        <lblAlgn val="ctr"/>
        <lblOffset val="100"/>
        <noMultiLvlLbl val="0"/>
      </catAx>
      <valAx>
        <axId val="12240507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24042832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pivotSource>
    <name>[ISMS-FORM-06-2 Statement of Applicability.xlsx]ISO27001 % Results Chart!ISO27001%ResultsChart</name>
    <fmtId val="2"/>
  </pivotSource>
  <chart>
    <pivotFmts>
      <pivotFmt>
        <idx val="0"/>
        <spPr>
          <a:solidFill xmlns:a="http://schemas.openxmlformats.org/drawingml/2006/main">
            <a:schemeClr val="bg2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bg2">
              <a:lumMod val="25000"/>
            </a:schemeClr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bg2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bg2">
              <a:lumMod val="25000"/>
            </a:schemeClr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bg2">
              <a:lumMod val="75000"/>
            </a:schemeClr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bg2">
              <a:lumMod val="25000"/>
            </a:schemeClr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8558796755741317"/>
          <y val="0.1462151846403815"/>
          <w val="0.9058257092288486"/>
          <h val="0.5135646505725245"/>
        </manualLayout>
      </layout>
      <barChart>
        <barDir val="col"/>
        <grouping val="clustered"/>
        <varyColors val="0"/>
        <ser>
          <idx val="0"/>
          <order val="0"/>
          <tx>
            <strRef>
              <f>'ISO27001 % Results Chart'!$C$6</f>
              <strCache>
                <ptCount val="1"/>
                <pt idx="0">
                  <v xml:space="preserve">% APP CONTROLS IMPLEMENTED </v>
                </pt>
              </strCache>
            </strRef>
          </tx>
          <spPr>
            <a:solidFill xmlns:a="http://schemas.openxmlformats.org/drawingml/2006/main">
              <a:schemeClr val="bg2">
                <a:lumMod val="7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'ISO27001 % Results Chart'!$B$7:$B$10</f>
              <strCache>
                <ptCount val="4"/>
                <pt idx="0">
                  <v>A.5 Organizational controls</v>
                </pt>
                <pt idx="1">
                  <v>A.6 People controls</v>
                </pt>
                <pt idx="2">
                  <v>A.7 Physical controls</v>
                </pt>
                <pt idx="3">
                  <v>A.8 Technological controls</v>
                </pt>
              </strCache>
            </strRef>
          </cat>
          <val>
            <numRef>
              <f>'ISO27001 % Results Chart'!$C$7:$C$10</f>
              <numCache>
                <formatCode>0%</formatCode>
                <ptCount val="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</numCache>
            </numRef>
          </val>
        </ser>
        <ser>
          <idx val="1"/>
          <order val="1"/>
          <tx>
            <strRef>
              <f>'ISO27001 % Results Chart'!$D$6</f>
              <strCache>
                <ptCount val="1"/>
                <pt idx="0">
                  <v xml:space="preserve">% CONTROLS APPLICABLE </v>
                </pt>
              </strCache>
            </strRef>
          </tx>
          <spPr>
            <a:solidFill xmlns:a="http://schemas.openxmlformats.org/drawingml/2006/main">
              <a:schemeClr val="bg2">
                <a:lumMod val="2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'ISO27001 % Results Chart'!$B$7:$B$10</f>
              <strCache>
                <ptCount val="4"/>
                <pt idx="0">
                  <v>A.5 Organizational controls</v>
                </pt>
                <pt idx="1">
                  <v>A.6 People controls</v>
                </pt>
                <pt idx="2">
                  <v>A.7 Physical controls</v>
                </pt>
                <pt idx="3">
                  <v>A.8 Technological controls</v>
                </pt>
              </strCache>
            </strRef>
          </cat>
          <val>
            <numRef>
              <f>'ISO27001 % Results Chart'!$D$7:$D$10</f>
              <numCache>
                <formatCode>0%</formatCode>
                <ptCount val="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0"/>
        <axId val="566447928"/>
        <axId val="566439400"/>
      </barChart>
      <catAx>
        <axId val="566447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66439400"/>
        <crosses val="autoZero"/>
        <auto val="1"/>
        <lblAlgn val="ctr"/>
        <lblOffset val="100"/>
        <noMultiLvlLbl val="0"/>
      </catAx>
      <valAx>
        <axId val="566439400"/>
        <scaling>
          <orientation val="minMax"/>
          <max val="1"/>
        </scaling>
        <delete val="0"/>
        <axPos val="l"/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66447928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1</col>
      <colOff>2959968</colOff>
      <row>5</row>
      <rowOff>7620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" y="190500"/>
          <a:ext cx="2956158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2</col>
      <colOff>1060925</colOff>
      <row>6</row>
      <rowOff>5490</rowOff>
    </to>
    <pic>
      <nvPicPr>
        <cNvPr id="2" name="Picture 1" descr="Auto Replac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" y="190500"/>
          <a:ext cx="2527775" cy="9579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2</col>
      <colOff>60800</colOff>
      <row>5</row>
      <rowOff>186465</rowOff>
    </to>
    <pic>
      <nvPicPr>
        <cNvPr id="2" name="Picture 1" descr="Auto Replac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" y="190500"/>
          <a:ext cx="2527775" cy="9579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1</col>
      <colOff>0</colOff>
      <row>22</row>
      <rowOff>190499</rowOff>
    </from>
    <to>
      <col>6</col>
      <colOff>1238250</colOff>
      <row>55</row>
      <rowOff>180974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9525</colOff>
      <row>14</row>
      <rowOff>0</rowOff>
    </from>
    <to>
      <col>23</col>
      <colOff>600075</colOff>
      <row>35</row>
      <rowOff>9525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8</col>
      <colOff>0</colOff>
      <row>39</row>
      <rowOff>0</rowOff>
    </from>
    <to>
      <col>26</col>
      <colOff>0</colOff>
      <row>66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</col>
      <colOff>0</colOff>
      <row>1</row>
      <rowOff>0</rowOff>
    </from>
    <to>
      <col>1</col>
      <colOff>2527775</colOff>
      <row>6</row>
      <rowOff>5490</rowOff>
    </to>
    <pic>
      <nvPicPr>
        <cNvPr id="2" name="Picture 1" descr="Auto Replac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90500" y="190500"/>
          <a:ext cx="2527775" cy="9579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ark Clifton" refreshedDate="44746.47784178241" missingItemsLimit="0" createdVersion="6" refreshedVersion="8" minRefreshableVersion="3" recordCount="4" r:id="rId1">
  <cacheSource type="worksheet">
    <worksheetSource name="ISO27001ApplicabilityTableResults"/>
  </cacheSource>
  <cacheFields count="6">
    <cacheField name="AREA OF STANDARD" uniqueList="1" numFmtId="0" sqlType="0" hierarchy="0" level="0" databaseField="1">
      <sharedItems count="4">
        <s v="A.5 Organizational controls"/>
        <s v="A.6 People controls"/>
        <s v="A.7 Physical controls"/>
        <s v="A.8 Technological controls"/>
      </sharedItems>
    </cacheField>
    <cacheField name="NO OF CONTROLS" uniqueList="1" numFmtId="0" sqlType="0" hierarchy="0" level="0" databaseField="1">
      <sharedItems count="4" containsInteger="1" containsNumber="1" containsSemiMixedTypes="0" containsString="0" minValue="8" maxValue="37">
        <n v="37"/>
        <n v="8"/>
        <n v="14"/>
        <n v="34"/>
      </sharedItems>
    </cacheField>
    <cacheField name="APPLICABLE CONTROLS" uniqueList="1" numFmtId="0" sqlType="0" hierarchy="0" level="0" databaseField="1">
      <sharedItems count="0" containsInteger="1" containsNumber="1" containsSemiMixedTypes="0" containsString="0" minValue="8" maxValue="37"/>
    </cacheField>
    <cacheField name="% CONTROLS APPLICABLE" uniqueList="1" numFmtId="9" sqlType="0" hierarchy="0" level="0" databaseField="1">
      <sharedItems count="0" containsInteger="1" containsNumber="1" containsSemiMixedTypes="0" containsString="0" minValue="1" maxValue="1"/>
    </cacheField>
    <cacheField name="CONTROLS IMPLEMENTED" uniqueList="1" numFmtId="0" sqlType="0" hierarchy="0" level="0" databaseField="1">
      <sharedItems count="0" containsInteger="1" containsNumber="1" containsSemiMixedTypes="0" containsString="0" minValue="8" maxValue="37"/>
    </cacheField>
    <cacheField name="% APP CONTROLS IMPLEMENTED" uniqueList="1" numFmtId="9" sqlType="0" hierarchy="0" level="0" databaseField="1">
      <sharedItems count="0" containsInteger="1" containsNumber="1" containsSemiMixedTypes="0" containsString="0" minValue="1" maxValue="1"/>
    </cacheField>
  </cacheFields>
</pivotCacheDefinition>
</file>

<file path=xl/pivotCache/pivotCacheRecords1.xml><?xml version="1.0" encoding="utf-8"?>
<pivotCacheRecords xmlns="http://schemas.openxmlformats.org/spreadsheetml/2006/main" count="4">
  <r>
    <x v="0"/>
    <x v="0"/>
    <n v="37"/>
    <n v="1"/>
    <n v="37"/>
    <n v="1"/>
  </r>
  <r>
    <x v="1"/>
    <x v="1"/>
    <n v="8"/>
    <n v="1"/>
    <n v="8"/>
    <n v="1"/>
  </r>
  <r>
    <x v="2"/>
    <x v="2"/>
    <n v="14"/>
    <n v="1"/>
    <n v="14"/>
    <n v="1"/>
  </r>
  <r>
    <x v="3"/>
    <x v="3"/>
    <n v="34"/>
    <n v="1"/>
    <n v="34"/>
    <n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ISO27001ApplicabilityTableResults" cacheId="20" dataOnRows="0" dataCaption="Values" showError="0" showMissing="1" updatedVersion="8" minRefreshableVersion="3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9" fieldListSortAscending="0" mdxSubqueries="0" applyNumberFormats="0" applyBorderFormats="0" applyFontFormats="0" applyPatternFormats="0" applyAlignmentFormats="0" applyWidthHeightFormats="1" r:id="rId1">
  <location ref="B6:D10" firstHeaderRow="0" firstDataRow="1" firstDataCol="1"/>
  <pivotFields count="6">
    <pivotField axis="axisRow" showDropDowns="1" compact="0" outline="0" subtotalTop="1" dragToRow="1" dragToCol="1" dragToPage="1" dragToData="1" dragOff="1" showAll="0" topAutoShow="1" itemPageCount="10" sortType="manual" defaultSubtotal="0">
      <items count="4">
        <item t="data" sd="1" x="3"/>
        <item t="data" sd="1" x="2"/>
        <item t="data" sd="1" x="1"/>
        <item t="data" sd="1" x="0"/>
      </items>
    </pivotField>
    <pivotField showDropDowns="1" compact="0" outline="0" subtotalTop="1" dragToRow="1" dragToCol="1" dragToPage="1" dragToData="1" dragOff="1" showAll="0" topAutoShow="1" itemPageCount="10" sortType="manual" defaultSubtotal="0">
      <items count="4">
        <item t="data" sd="1" x="1"/>
        <item t="data" sd="1" x="2"/>
        <item t="data" sd="1" x="0"/>
        <item t="data" sd="1" x="3"/>
      </items>
    </pivotField>
    <pivotField dataField="1" showDropDowns="1" compact="0" outline="0" subtotalTop="1" dragToRow="1" dragToCol="1" dragToPage="1" dragToData="1" dragOff="1" showAll="0" topAutoShow="1" itemPageCount="10" sortType="manual" defaultSubtotal="0"/>
    <pivotField showDropDowns="1" compact="0" numFmtId="9" outline="0" subtotalTop="1" dragToRow="1" dragToCol="1" dragToPage="1" dragToData="1" dragOff="1" showAll="0" topAutoShow="1" itemPageCount="10" sortType="manual" defaultSubtotal="0"/>
    <pivotField dataField="1" showDropDowns="1" compact="0" outline="0" subtotalTop="1" dragToRow="1" dragToCol="1" dragToPage="1" dragToData="1" dragOff="1" showAll="0" topAutoShow="1" itemPageCount="10" sortType="manual" defaultSubtotal="0"/>
    <pivotField showDropDowns="1" compact="0" numFmtId="9" outline="0" subtotalTop="1" dragToRow="1" dragToCol="1" dragToPage="1" dragToData="1" dragOff="1" showAll="0" topAutoShow="1" itemPageCount="10" sortType="manual" defaultSubtotal="0"/>
  </pivotFields>
  <rowFields count="1">
    <field x="0"/>
  </rowFields>
  <rowItems count="4">
    <i t="data" r="0" i="0">
      <x v="0"/>
    </i>
    <i t="data" r="0" i="0">
      <x v="1"/>
    </i>
    <i t="data" r="0" i="0">
      <x v="2"/>
    </i>
    <i t="data" r="0" i="0">
      <x v="3"/>
    </i>
  </rowItems>
  <colFields count="1">
    <field x="-2"/>
  </colFields>
  <colItems count="2">
    <i t="data" r="0" i="0">
      <x v="0"/>
    </i>
    <i t="data" r="0" i="1">
      <x v="1"/>
    </i>
  </colItems>
  <dataFields count="2">
    <dataField name="APPLICABLE CONTROLS " fld="2" subtotal="sum" showDataAs="normal" baseField="0" baseItem="0"/>
    <dataField name="CONTROLS IMPLEMENTED " fld="4" subtotal="sum" showDataAs="normal" baseField="0" baseItem="0"/>
  </dataFields>
  <formats count="19">
    <format action="formatting" dxfId="53">
      <pivotArea field="0" type="button" dataOnly="0" labelOnly="1" outline="0" axis="axisRow" fieldPosition="0"/>
    </format>
    <format action="formatting" dxfId="52">
      <pivotArea field="1" type="button" dataOnly="0" labelOnly="1" outline="0"/>
    </format>
    <format action="formatting" dxfId="51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50">
      <pivotArea field="0" type="button" dataOnly="0" labelOnly="1" outline="0" axis="axisRow" fieldPosition="0"/>
    </format>
    <format action="formatting" dxfId="49">
      <pivotArea field="1" type="button" dataOnly="0" labelOnly="1" outline="0"/>
    </format>
    <format action="formatting" dxfId="48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47">
      <pivotArea field="0" type="button" dataOnly="0" labelOnly="1" outline="0" axis="axisRow" fieldPosition="0"/>
    </format>
    <format action="formatting" dxfId="46">
      <pivotArea field="1" type="button" dataOnly="0" labelOnly="1" outline="0"/>
    </format>
    <format action="formatting" dxfId="45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44">
      <pivotArea type="all" dataOnly="0" outline="0" fieldPosition="0"/>
    </format>
    <format action="formatting" dxfId="43">
      <pivotArea type="normal" dataOnly="1" outline="0" collapsedLevelsAreSubtotals="1" fieldPosition="0"/>
    </format>
    <format action="formatting" dxfId="42">
      <pivotArea field="0" type="button" dataOnly="0" labelOnly="1" outline="0" axis="axisRow" fieldPosition="0"/>
    </format>
    <format action="formatting" dxfId="41">
      <pivotArea field="1" type="button" dataOnly="0" labelOnly="1" outline="0"/>
    </format>
    <format action="formatting" dxfId="40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39">
      <pivotArea type="all" dataOnly="0" outline="0" fieldPosition="0"/>
    </format>
    <format action="formatting" dxfId="38">
      <pivotArea field="0" type="button" dataOnly="0" labelOnly="1" outline="0" axis="axisRow" fieldPosition="0"/>
    </format>
    <format action="formatting" dxfId="37">
      <pivotArea type="normal" dataOnly="1" outline="0" collapsedLevelsAreSubtotals="1" fieldPosition="0"/>
    </format>
    <format action="formatting" dxfId="36">
      <pivotArea field="1" type="button" dataOnly="0" labelOnly="1" outline="0"/>
    </format>
    <format action="formatting" dxfId="35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</formats>
  <chartFormats count="4">
    <chartFormat chart="2" format="31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32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8" format="35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3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ISO27001%ResultsChart" cacheId="2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9" fieldListSortAscending="0" mdxSubqueries="0" applyNumberFormats="0" applyBorderFormats="0" applyFontFormats="0" applyPatternFormats="0" applyAlignmentFormats="0" applyWidthHeightFormats="1" r:id="rId1">
  <location ref="B6:D10" firstHeaderRow="0" firstDataRow="1" firstDataCol="1"/>
  <pivotFields count="6">
    <pivotField axis="axisRow" showDropDowns="1" compact="0" outline="0" subtotalTop="1" dragToRow="1" dragToCol="1" dragToPage="1" dragToData="1" dragOff="1" showAll="0" topAutoShow="1" itemPageCount="10" sortType="manual" defaultSubtotal="0">
      <items count="4">
        <item t="data" sd="1" x="0"/>
        <item t="data" sd="1" x="1"/>
        <item t="data" sd="1" x="2"/>
        <item t="data" sd="1" x="3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dataField="1" showDropDowns="1" compact="0" numFmtId="9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dataField="1" showDropDowns="1" compact="0" numFmtId="9" outline="0" subtotalTop="1" dragToRow="1" dragToCol="1" dragToPage="1" dragToData="1" dragOff="1" showAll="0" topAutoShow="1" itemPageCount="10" sortType="manual" defaultSubtotal="0"/>
  </pivotFields>
  <rowFields count="1">
    <field x="0"/>
  </rowFields>
  <rowItems count="4">
    <i t="data" r="0" i="0">
      <x v="0"/>
    </i>
    <i t="data" r="0" i="0">
      <x v="1"/>
    </i>
    <i t="data" r="0" i="0">
      <x v="2"/>
    </i>
    <i t="data" r="0" i="0">
      <x v="3"/>
    </i>
  </rowItems>
  <colFields count="1">
    <field x="-2"/>
  </colFields>
  <colItems count="2">
    <i t="data" r="0" i="0">
      <x v="0"/>
    </i>
    <i t="data" r="0" i="1">
      <x v="1"/>
    </i>
  </colItems>
  <dataFields count="2">
    <dataField name="% APP CONTROLS IMPLEMENTED " fld="5" subtotal="sum" showDataAs="normal" baseField="0" baseItem="0" numFmtId="9"/>
    <dataField name="% CONTROLS APPLICABLE " fld="3" subtotal="sum" showDataAs="normal" baseField="0" baseItem="0" numFmtId="9"/>
  </dataFields>
  <formats count="16">
    <format action="formatting" dxfId="34">
      <pivotArea field="0" type="button" dataOnly="0" labelOnly="1" outline="0" axis="axisRow" fieldPosition="0"/>
    </format>
    <format action="formatting" dxfId="33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32">
      <pivotArea field="0" type="button" dataOnly="0" labelOnly="1" outline="0" axis="axisRow" fieldPosition="0"/>
    </format>
    <format action="formatting" dxfId="31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30">
      <pivotArea type="normal" dataOnly="1" outline="0" collapsedLevelsAreSubtotals="1" fieldPosition="0"/>
    </format>
    <format action="formatting" dxfId="29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28">
      <pivotArea type="all" dataOnly="0" outline="0" fieldPosition="0"/>
    </format>
    <format action="formatting" dxfId="27">
      <pivotArea type="normal" dataOnly="1" outline="0" collapsedLevelsAreSubtotals="1" fieldPosition="0"/>
    </format>
    <format action="formatting" dxfId="26">
      <pivotArea field="0" type="button" dataOnly="0" labelOnly="1" outline="0" axis="axisRow" fieldPosition="0"/>
    </format>
    <format action="formatting" dxfId="25">
      <pivotArea type="normal" dataOnly="0" labelOnly="1" outline="0" fieldPosition="0">
        <references count="1">
          <reference field="0"/>
        </references>
      </pivotArea>
    </format>
    <format action="formatting" dxfId="24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23">
      <pivotArea type="all" dataOnly="0" outline="0" fieldPosition="0"/>
    </format>
    <format action="formatting" dxfId="22">
      <pivotArea type="normal" dataOnly="1" outline="0" collapsedLevelsAreSubtotals="1" fieldPosition="0"/>
    </format>
    <format action="formatting" dxfId="21">
      <pivotArea field="0" type="button" dataOnly="0" labelOnly="1" outline="0" axis="axisRow" fieldPosition="0"/>
    </format>
    <format action="formatting" dxfId="20">
      <pivotArea type="normal" dataOnly="0" labelOnly="1" outline="0" fieldPosition="0">
        <references count="1">
          <reference field="0"/>
        </references>
      </pivotArea>
    </format>
    <format action="formatting" dxfId="19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</formats>
  <chartFormats count="4">
    <chartFormat chart="2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5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8" format="8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9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ISO27001%RadarPivot" cacheId="2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9" fieldListSortAscending="0" mdxSubqueries="0" applyNumberFormats="0" applyBorderFormats="0" applyFontFormats="0" applyPatternFormats="0" applyAlignmentFormats="0" applyWidthHeightFormats="1" r:id="rId1">
  <location ref="B6:D10" firstHeaderRow="0" firstDataRow="1" firstDataCol="1"/>
  <pivotFields count="6">
    <pivotField axis="axisRow" showDropDowns="1" compact="0" outline="0" subtotalTop="1" dragToRow="1" dragToCol="1" dragToPage="1" dragToData="1" dragOff="1" showAll="0" topAutoShow="1" itemPageCount="10" sortType="manual" defaultSubtotal="0">
      <items count="4">
        <item t="data" sd="1" x="0"/>
        <item t="data" sd="1" x="1"/>
        <item t="data" sd="1" x="2"/>
        <item t="data" sd="1" x="3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dataField="1" showDropDowns="1" compact="0" numFmtId="9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dataField="1" showDropDowns="1" compact="0" numFmtId="9" outline="0" subtotalTop="1" dragToRow="1" dragToCol="1" dragToPage="1" dragToData="1" dragOff="1" showAll="0" topAutoShow="1" itemPageCount="10" sortType="manual" defaultSubtotal="0"/>
  </pivotFields>
  <rowFields count="1">
    <field x="0"/>
  </rowFields>
  <rowItems count="4">
    <i t="data" r="0" i="0">
      <x v="0"/>
    </i>
    <i t="data" r="0" i="0">
      <x v="1"/>
    </i>
    <i t="data" r="0" i="0">
      <x v="2"/>
    </i>
    <i t="data" r="0" i="0">
      <x v="3"/>
    </i>
  </rowItems>
  <colFields count="1">
    <field x="-2"/>
  </colFields>
  <colItems count="2">
    <i t="data" r="0" i="0">
      <x v="0"/>
    </i>
    <i t="data" r="0" i="1">
      <x v="1"/>
    </i>
  </colItems>
  <dataFields count="2">
    <dataField name="% APP CONTROLS IMPLEMENTED " fld="5" subtotal="sum" showDataAs="normal" baseField="0" baseItem="0" numFmtId="9"/>
    <dataField name="% CONTROLS APPLICABLE " fld="3" subtotal="sum" showDataAs="normal" baseField="0" baseItem="3" numFmtId="9"/>
  </dataFields>
  <formats count="19">
    <format action="formatting" dxfId="18">
      <pivotArea type="all" dataOnly="0" outline="0" fieldPosition="0"/>
    </format>
    <format action="formatting" dxfId="17">
      <pivotArea type="normal" dataOnly="1" outline="0" collapsedLevelsAreSubtotals="1" fieldPosition="0"/>
    </format>
    <format action="formatting" dxfId="16">
      <pivotArea field="0" type="button" dataOnly="0" labelOnly="1" outline="0" axis="axisRow" fieldPosition="0"/>
    </format>
    <format action="formatting" dxfId="15">
      <pivotArea type="normal" dataOnly="0" labelOnly="1" outline="1" fieldPosition="0">
        <references count="1">
          <reference field="0"/>
        </references>
      </pivotArea>
    </format>
    <format action="formatting" dxfId="14">
      <pivotArea type="normal" dataOnly="0" labelOnly="1" grandRow="1" outline="0" fieldPosition="0"/>
    </format>
    <format action="formatting" dxfId="13">
      <pivotArea type="normal" dataOnly="0" labelOnly="1" outline="0" axis="axisValues" fieldPosition="0"/>
    </format>
    <format action="formatting" dxfId="12">
      <pivotArea type="all" dataOnly="0" outline="0" fieldPosition="0"/>
    </format>
    <format action="formatting" dxfId="11">
      <pivotArea type="normal" dataOnly="1" outline="0" collapsedLevelsAreSubtotals="1" fieldPosition="0"/>
    </format>
    <format action="formatting" dxfId="10">
      <pivotArea type="normal" dataOnly="0" labelOnly="1" outline="1" fieldPosition="0">
        <references count="1">
          <reference field="0"/>
        </references>
      </pivotArea>
    </format>
    <format action="formatting" dxfId="9">
      <pivotArea type="normal" dataOnly="0" labelOnly="1" grandRow="1" outline="0" fieldPosition="0"/>
    </format>
    <format action="formatting" dxfId="8">
      <pivotArea type="normal" dataOnly="0" labelOnly="1" outline="0" axis="axisValues" fieldPosition="0"/>
    </format>
    <format action="formatting" dxfId="7">
      <pivotArea type="normal" dataOnly="1" outline="0" fieldPosition="0">
        <references count="1">
          <reference field="4294967294">
            <x v="1"/>
          </reference>
        </references>
      </pivotArea>
    </format>
    <format action="formatting" dxfId="6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5">
      <pivotArea field="0" type="button" dataOnly="0" labelOnly="1" outline="0" axis="axisRow" fieldPosition="0"/>
    </format>
    <format action="formatting" dxfId="4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3">
      <pivotArea field="0" type="button" dataOnly="0" labelOnly="1" outline="0" axis="axisRow" fieldPosition="0"/>
    </format>
    <format action="formatting" dxfId="2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1">
      <pivotArea field="0" type="button" dataOnly="0" labelOnly="1" outline="0" axis="axisRow" fieldPosition="0"/>
    </format>
    <format action="formatting" dxfId="0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</formats>
  <chartFormats count="5">
    <chartFormat chart="2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5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8" format="1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12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7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ISO27001ApplicabilityTableResults11" displayName="ISO27001ApplicabilityTableResults11" ref="B13:G18" headerRowCount="1" totalsRowCount="1" headerRowDxfId="83" dataDxfId="82" totalsRowDxfId="81">
  <autoFilter ref="B13:G17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tableColumns count="6">
    <tableColumn id="1" name="AREA OF STANDARD" totalsRowLabel="Total" dataDxfId="80" totalsRowDxfId="79"/>
    <tableColumn id="2" name="NO OF CONTROLS" totalsRowFunction="sum" dataDxfId="78" totalsRowDxfId="77"/>
    <tableColumn id="3" name="APPLICABLE CONTROLS" totalsRowFunction="sum" dataDxfId="76" totalsRowDxfId="75"/>
    <tableColumn id="4" name="% CONTROLS APPLICABLE" totalsRowFunction="average" dataDxfId="74" totalsRowDxfId="73">
      <calculatedColumnFormula>ISO27001ApplicabilityTableResults11[[#This Row],[APPLICABLE CONTROLS]]/ISO27001ApplicabilityTableResults11[[#This Row],[NO OF CONTROLS]]</calculatedColumnFormula>
    </tableColumn>
    <tableColumn id="5" name="CONTROLS IMPLEMENTED" totalsRowFunction="sum" dataDxfId="72" totalsRowDxfId="71"/>
    <tableColumn id="6" name="% APP CONTROLS IMPLEMENTED" totalsRowFunction="average" dataDxfId="70" totalsRowDxfId="69" dataCellStyle="Percent">
      <calculatedColumnFormula>IF(D14=0,1,+F14/D14)</calculatedColumnFormula>
    </tableColumn>
  </tableColumns>
  <tableStyleInfo name="CertiKit table style" showFirstColumn="0" showLastColumn="0" showRowStripes="0" showColumnStripes="0"/>
</table>
</file>

<file path=xl/tables/table2.xml><?xml version="1.0" encoding="utf-8"?>
<table xmlns="http://schemas.openxmlformats.org/spreadsheetml/2006/main" id="2" name="ISO27001ApplicabilityTableResults" displayName="ISO27001ApplicabilityTableResults" ref="B6:G11" headerRowCount="1" totalsRowCount="1" headerRowDxfId="68" dataDxfId="67" totalsRowDxfId="66">
  <autoFilter ref="B6:G1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tableColumns count="6">
    <tableColumn id="1" name="AREA OF STANDARD" totalsRowLabel="Total" dataDxfId="65" totalsRowDxfId="64"/>
    <tableColumn id="2" name="NO OF CONTROLS" totalsRowFunction="sum" dataDxfId="63" totalsRowDxfId="62"/>
    <tableColumn id="3" name="APPLICABLE CONTROLS" totalsRowFunction="sum" dataDxfId="61" totalsRowDxfId="60"/>
    <tableColumn id="4" name="% CONTROLS APPLICABLE" totalsRowFunction="average" dataDxfId="59" totalsRowDxfId="58">
      <calculatedColumnFormula>ISO27001ApplicabilityTableResults[[#This Row],[APPLICABLE CONTROLS]]/ISO27001ApplicabilityTableResults[[#This Row],[NO OF CONTROLS]]</calculatedColumnFormula>
    </tableColumn>
    <tableColumn id="5" name="CONTROLS IMPLEMENTED" totalsRowFunction="sum" dataDxfId="57" totalsRowDxfId="56"/>
    <tableColumn id="6" name="% APP CONTROLS IMPLEMENTED" totalsRowFunction="average" dataDxfId="55" totalsRowDxfId="54" dataCellStyle="Percent">
      <calculatedColumnFormula>IF(D7=0,1,+F7/D7)</calculatedColumnFormula>
    </tableColumn>
  </tableColumns>
  <tableStyleInfo name="CertiKit table style" showFirstColumn="0" showLastColumn="0" showRowStripes="0" showColumnStripes="0"/>
</table>
</file>

<file path=xl/theme/theme1.xml><?xml version="1.0" encoding="utf-8"?>
<a:theme xmlns:a="http://schemas.openxmlformats.org/drawingml/2006/main" name="CertiKit Theme">
  <a:themeElements>
    <a:clrScheme name="CertiKit colours (new)">
      <a:dk1>
        <a:srgbClr val="444444"/>
      </a:dk1>
      <a:lt1>
        <a:sysClr val="window" lastClr="FFFFFF"/>
      </a:lt1>
      <a:dk2>
        <a:srgbClr val="CCC900"/>
      </a:dk2>
      <a:lt2>
        <a:srgbClr val="D0EAEB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8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tabSelected="1" zoomScaleNormal="100" workbookViewId="0">
      <selection activeCell="A1" sqref="A1"/>
    </sheetView>
  </sheetViews>
  <sheetFormatPr baseColWidth="8" defaultRowHeight="15"/>
  <cols>
    <col width="2.85546875" customWidth="1" style="6" min="1" max="1"/>
    <col width="94.140625" customWidth="1" style="6" min="2" max="2"/>
    <col width="9.140625" customWidth="1" style="6" min="3" max="16384"/>
  </cols>
  <sheetData>
    <row r="1"/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 ht="38.25" customHeight="1" s="63">
      <c r="B8" s="1" t="n"/>
    </row>
    <row r="9"/>
    <row r="10" ht="51" customHeight="1" s="63">
      <c r="B10" s="1" t="n"/>
    </row>
    <row r="11"/>
    <row r="12" ht="51" customHeight="1" s="63">
      <c r="B12" s="1" t="n"/>
    </row>
    <row r="13"/>
    <row r="14" ht="81" customHeight="1" s="63">
      <c r="A14" s="28" t="n"/>
      <c r="B14" s="1" t="n"/>
    </row>
    <row r="15">
      <c r="A15" s="28" t="n"/>
      <c r="B15" s="5" t="n"/>
    </row>
    <row r="16" ht="156" customHeight="1" s="63">
      <c r="B16" s="1" t="n"/>
    </row>
    <row r="17"/>
    <row r="18" ht="41.25" customHeight="1" s="63">
      <c r="B18" s="1" t="n"/>
    </row>
    <row r="19"/>
    <row r="20" ht="36" customHeight="1" s="63">
      <c r="B20" s="1" t="n"/>
    </row>
    <row r="21"/>
    <row r="22" ht="66" customHeight="1" s="63">
      <c r="B22" s="1" t="n"/>
    </row>
    <row r="23"/>
    <row r="24" ht="96" customHeight="1" s="63">
      <c r="B24" s="1" t="n"/>
    </row>
    <row r="25"/>
    <row r="26" ht="246" customHeight="1" s="63">
      <c r="B26" s="1" t="n"/>
    </row>
    <row r="27" ht="15.75" customHeight="1" s="63" thickBot="1">
      <c r="B27" s="11" t="n"/>
    </row>
    <row r="28" ht="15.75" customHeight="1" s="63" thickTop="1"/>
  </sheetData>
  <pageMargins left="0.7086614173228347" right="0.7086614173228347" top="0.7480314960629921" bottom="0.7480314960629921" header="0.3149606299212598" footer="0.3149606299212598"/>
  <pageSetup orientation="portrait" paperSize="9" horizontalDpi="1200" verticalDpi="1200"/>
  <headerFooter>
    <oddHeader/>
    <oddFooter>&amp;L&amp;D&amp;CPage &amp;P of &amp;N&amp;R[Insert classification]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zoomScaleNormal="100" workbookViewId="0">
      <selection activeCell="A1" sqref="A1"/>
    </sheetView>
  </sheetViews>
  <sheetFormatPr baseColWidth="8" defaultRowHeight="15"/>
  <cols>
    <col width="2.85546875" customWidth="1" style="6" min="1" max="1"/>
    <col width="22" customWidth="1" style="6" min="2" max="2"/>
    <col width="83.7109375" customWidth="1" style="6" min="3" max="3"/>
    <col width="9.140625" customWidth="1" style="6" min="4" max="16384"/>
  </cols>
  <sheetData>
    <row r="1"/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/>
    <row r="8" ht="21" customHeight="1" s="63">
      <c r="B8" s="7" t="inlineStr">
        <is>
          <t>Version information</t>
        </is>
      </c>
      <c r="C8" s="9" t="n"/>
    </row>
    <row r="9">
      <c r="B9" s="9" t="n"/>
      <c r="C9" s="9" t="n"/>
    </row>
    <row r="10" ht="30" customHeight="1" s="63">
      <c r="B10" s="12" t="inlineStr">
        <is>
          <t xml:space="preserve">Security classification
</t>
        </is>
      </c>
      <c r="C10" s="13" t="n"/>
    </row>
    <row r="11" ht="30" customHeight="1" s="63">
      <c r="B11" s="12" t="inlineStr">
        <is>
          <t xml:space="preserve">Version
</t>
        </is>
      </c>
      <c r="C11" s="13" t="n"/>
      <c r="E11" s="6" t="n"/>
    </row>
    <row r="12" ht="30" customHeight="1" s="63">
      <c r="B12" s="12" t="inlineStr">
        <is>
          <t xml:space="preserve">Dated
</t>
        </is>
      </c>
      <c r="C12" s="13" t="n"/>
    </row>
    <row r="13" ht="30" customHeight="1" s="63">
      <c r="B13" s="12" t="inlineStr">
        <is>
          <t xml:space="preserve">Approval
</t>
        </is>
      </c>
      <c r="C13" s="13" t="n"/>
    </row>
  </sheetData>
  <pageMargins left="0.7086614173228347" right="0.7086614173228347" top="0.7480314960629921" bottom="0.7480314960629921" header="0.3149606299212598" footer="0.3149606299212598"/>
  <pageSetup orientation="portrait" paperSize="9" scale="90" horizontalDpi="1200" verticalDpi="1200"/>
  <headerFooter>
    <oddHeader/>
    <oddFooter>&amp;L&amp;D&amp;CPage &amp;P of &amp;N&amp;R[Insert classification]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1"/>
  <sheetViews>
    <sheetView showGridLines="0" workbookViewId="0">
      <selection activeCell="A1" sqref="A1"/>
    </sheetView>
  </sheetViews>
  <sheetFormatPr baseColWidth="8" defaultRowHeight="15"/>
  <cols>
    <col width="2.85546875" customWidth="1" style="1" min="1" max="1"/>
    <col width="37" customWidth="1" style="1" min="2" max="2"/>
    <col width="76.28515625" customWidth="1" style="1" min="3" max="3"/>
    <col width="12.140625" customWidth="1" style="1" min="4" max="4"/>
    <col width="15" customWidth="1" style="1" min="5" max="5"/>
    <col width="24.42578125" customWidth="1" style="1" min="6" max="6"/>
    <col width="32" customWidth="1" style="1" min="7" max="7"/>
    <col width="9.140625" customWidth="1" style="1" min="8" max="16384"/>
  </cols>
  <sheetData>
    <row r="1"/>
    <row r="2">
      <c r="B2" s="15" t="n"/>
    </row>
    <row r="3">
      <c r="B3" s="15" t="n"/>
    </row>
    <row r="4">
      <c r="B4" s="15" t="n"/>
    </row>
    <row r="5" ht="15.75" customHeight="1" s="63">
      <c r="B5" s="15" t="n"/>
      <c r="F5" s="14" t="n"/>
    </row>
    <row r="6" ht="15.75" customHeight="1" s="63">
      <c r="B6" s="15" t="n"/>
      <c r="F6" s="14" t="n"/>
    </row>
    <row r="7" ht="15.75" customHeight="1" s="63">
      <c r="B7" s="15" t="n"/>
      <c r="F7" s="14" t="inlineStr">
        <is>
          <t>Terms used</t>
        </is>
      </c>
    </row>
    <row r="8" ht="21" customHeight="1" s="63">
      <c r="B8" s="7" t="inlineStr">
        <is>
          <t>Information security management systems: Requirements</t>
        </is>
      </c>
      <c r="F8" s="6" t="inlineStr">
        <is>
          <t>ISMS: Information Security Management System</t>
        </is>
      </c>
    </row>
    <row r="9" ht="15" customHeight="1" s="63">
      <c r="B9" s="10" t="inlineStr">
        <is>
          <t>Note: Only those controls that are listed in Annex A of the ISO/IEC 27001 standard are shown here.</t>
        </is>
      </c>
    </row>
    <row r="10" ht="15" customHeight="1" s="63">
      <c r="B10" s="10" t="n"/>
    </row>
    <row r="11"/>
    <row r="12" ht="33.75" customHeight="1" s="63">
      <c r="B12" s="23" t="inlineStr">
        <is>
          <t xml:space="preserve"> AREA/SECTION</t>
        </is>
      </c>
      <c r="C12" s="23" t="inlineStr">
        <is>
          <t>CONTROL</t>
        </is>
      </c>
      <c r="D12" s="23" t="inlineStr">
        <is>
          <t>CONTROL APPLICABLE?</t>
        </is>
      </c>
      <c r="E12" s="23" t="inlineStr">
        <is>
          <t>CONTROL IMPLEMENTED?</t>
        </is>
      </c>
      <c r="F12" s="23" t="inlineStr">
        <is>
          <t>JUSTIFICATION FOR INCLUSION OR EXCLUSION</t>
        </is>
      </c>
      <c r="G12" s="23" t="inlineStr">
        <is>
          <t>COMMENTS</t>
        </is>
      </c>
    </row>
    <row r="13"/>
    <row r="14" ht="18.75" customHeight="1" s="63">
      <c r="B14" s="22" t="inlineStr">
        <is>
          <t>A.5 Organizational controls</t>
        </is>
      </c>
      <c r="D14" t="inlineStr">
        <is>
          <t>Yes</t>
        </is>
      </c>
      <c r="E14" t="inlineStr">
        <is>
          <t>Partially implemented</t>
        </is>
      </c>
      <c r="F14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4" t="inlineStr">
        <is>
          <t>Current state includes documented gaps; treatment is tracked in Risk Register R-01 to R-09 and linked procedures.</t>
        </is>
      </c>
    </row>
    <row r="15">
      <c r="C15" s="1" t="inlineStr">
        <is>
          <t>A.5.1 Policies for information security</t>
        </is>
      </c>
      <c r="D15" s="18" t="inlineStr">
        <is>
          <t>Yes</t>
        </is>
      </c>
      <c r="E15" s="18" t="inlineStr">
        <is>
          <t>Partially implemented</t>
        </is>
      </c>
      <c r="F15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5" t="inlineStr">
        <is>
          <t>Current state includes documented gaps; treatment is tracked in Risk Register R-01 to R-09 and linked procedures.</t>
        </is>
      </c>
    </row>
    <row r="16">
      <c r="A16" s="27" t="n"/>
      <c r="C16" s="1" t="inlineStr">
        <is>
          <t>A.5.2 Information security roles and responsibilities</t>
        </is>
      </c>
      <c r="D16" s="18" t="inlineStr">
        <is>
          <t>Yes</t>
        </is>
      </c>
      <c r="E16" s="18" t="inlineStr">
        <is>
          <t>Partially implemented</t>
        </is>
      </c>
      <c r="F16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6" t="inlineStr">
        <is>
          <t>Current state includes documented gaps; treatment is tracked in Risk Register R-01 to R-09 and linked procedures.</t>
        </is>
      </c>
    </row>
    <row r="17">
      <c r="A17" s="27" t="n"/>
      <c r="C17" s="1" t="inlineStr">
        <is>
          <t>A.5.3 Segregation of duties</t>
        </is>
      </c>
      <c r="D17" s="18" t="inlineStr">
        <is>
          <t>Yes</t>
        </is>
      </c>
      <c r="E17" s="18" t="inlineStr">
        <is>
          <t>Partially implemented</t>
        </is>
      </c>
      <c r="F17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7" t="inlineStr">
        <is>
          <t>Current state includes documented gaps; treatment is tracked in Risk Register R-01 to R-09 and linked procedures.</t>
        </is>
      </c>
    </row>
    <row r="18">
      <c r="A18" s="27" t="n"/>
      <c r="C18" s="1" t="inlineStr">
        <is>
          <t>A.5.4 Management responsibilities</t>
        </is>
      </c>
      <c r="D18" s="18" t="inlineStr">
        <is>
          <t>Yes</t>
        </is>
      </c>
      <c r="E18" s="18" t="inlineStr">
        <is>
          <t>Partially implemented</t>
        </is>
      </c>
      <c r="F18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8" t="inlineStr">
        <is>
          <t>Current state includes documented gaps; treatment is tracked in Risk Register R-01 to R-09 and linked procedures.</t>
        </is>
      </c>
    </row>
    <row r="19">
      <c r="A19" s="27" t="n"/>
      <c r="C19" s="1" t="inlineStr">
        <is>
          <t>A.5.5 Contact with authorities</t>
        </is>
      </c>
      <c r="D19" s="18" t="inlineStr">
        <is>
          <t>Yes</t>
        </is>
      </c>
      <c r="E19" s="18" t="inlineStr">
        <is>
          <t>Partially implemented</t>
        </is>
      </c>
      <c r="F19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9" t="inlineStr">
        <is>
          <t>Current state includes documented gaps; treatment is tracked in Risk Register R-01 to R-09 and linked procedures.</t>
        </is>
      </c>
    </row>
    <row r="20">
      <c r="A20" s="27" t="n"/>
      <c r="C20" s="1" t="inlineStr">
        <is>
          <t>A.5.6 Contact with special interest groups</t>
        </is>
      </c>
      <c r="D20" s="18" t="inlineStr">
        <is>
          <t>Yes</t>
        </is>
      </c>
      <c r="E20" s="18" t="inlineStr">
        <is>
          <t>Partially implemented</t>
        </is>
      </c>
      <c r="F20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20" t="inlineStr">
        <is>
          <t>Current state includes documented gaps; treatment is tracked in Risk Register R-01 to R-09 and linked procedures.</t>
        </is>
      </c>
    </row>
    <row r="21">
      <c r="A21" s="27" t="n"/>
      <c r="C21" s="1" t="inlineStr">
        <is>
          <t>A.5.7 Threat intelligence</t>
        </is>
      </c>
      <c r="D21" s="18" t="inlineStr">
        <is>
          <t>Yes</t>
        </is>
      </c>
      <c r="E21" s="18" t="inlineStr">
        <is>
          <t>Partially implemented</t>
        </is>
      </c>
      <c r="F21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21" t="inlineStr">
        <is>
          <t>Current state includes documented gaps; treatment is tracked in Risk Register R-01 to R-09 and linked procedures.</t>
        </is>
      </c>
    </row>
    <row r="22">
      <c r="A22" s="27" t="n"/>
      <c r="C22" s="1" t="inlineStr">
        <is>
          <t>A.5.8 Information security in project management</t>
        </is>
      </c>
      <c r="D22" s="18" t="inlineStr">
        <is>
          <t>Yes</t>
        </is>
      </c>
      <c r="E22" s="18" t="inlineStr">
        <is>
          <t>Partially implemented</t>
        </is>
      </c>
      <c r="F22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22" t="inlineStr">
        <is>
          <t>Current state includes documented gaps; treatment is tracked in Risk Register R-01 to R-09 and linked procedures.</t>
        </is>
      </c>
    </row>
    <row r="23">
      <c r="A23" s="27" t="n"/>
      <c r="C23" s="1" t="inlineStr">
        <is>
          <t>A.5.9 Inventory of information and other associated assets</t>
        </is>
      </c>
      <c r="D23" s="18" t="inlineStr">
        <is>
          <t>Yes</t>
        </is>
      </c>
      <c r="E23" s="18" t="inlineStr">
        <is>
          <t>Partially implemented</t>
        </is>
      </c>
      <c r="F23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23" t="inlineStr">
        <is>
          <t>Current state includes documented gaps; treatment is tracked in Risk Register R-01 to R-09 and linked procedures.</t>
        </is>
      </c>
    </row>
    <row r="24">
      <c r="A24" s="27" t="n"/>
      <c r="C24" s="1" t="inlineStr">
        <is>
          <t>A.5.10 Acceptable use of information and other associated assets</t>
        </is>
      </c>
      <c r="D24" s="18" t="inlineStr">
        <is>
          <t>Yes</t>
        </is>
      </c>
      <c r="E24" s="18" t="inlineStr">
        <is>
          <t>Partially implemented</t>
        </is>
      </c>
      <c r="F24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24" t="inlineStr">
        <is>
          <t>Current state includes documented gaps; treatment is tracked in Risk Register R-01 to R-09 and linked procedures.</t>
        </is>
      </c>
    </row>
    <row r="25">
      <c r="A25" s="27" t="n"/>
      <c r="C25" s="1" t="inlineStr">
        <is>
          <t>A.5.11 Return of assets</t>
        </is>
      </c>
      <c r="D25" s="18" t="inlineStr">
        <is>
          <t>Yes</t>
        </is>
      </c>
      <c r="E25" s="18" t="inlineStr">
        <is>
          <t>Partially implemented</t>
        </is>
      </c>
      <c r="F25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25" t="inlineStr">
        <is>
          <t>Current state includes documented gaps; treatment is tracked in Risk Register R-01 to R-09 and linked procedures.</t>
        </is>
      </c>
    </row>
    <row r="26">
      <c r="A26" s="27" t="n"/>
      <c r="C26" s="1" t="inlineStr">
        <is>
          <t>A.5.12 Classification of information</t>
        </is>
      </c>
      <c r="D26" s="18" t="inlineStr">
        <is>
          <t>Yes</t>
        </is>
      </c>
      <c r="E26" s="18" t="inlineStr">
        <is>
          <t>Partially implemented</t>
        </is>
      </c>
      <c r="F26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26" t="inlineStr">
        <is>
          <t>Current state includes documented gaps; treatment is tracked in Risk Register R-01 to R-09 and linked procedures.</t>
        </is>
      </c>
    </row>
    <row r="27">
      <c r="A27" s="27" t="n"/>
      <c r="C27" s="1" t="inlineStr">
        <is>
          <t>A.5.13 Labelling of information</t>
        </is>
      </c>
      <c r="D27" s="18" t="inlineStr">
        <is>
          <t>Yes</t>
        </is>
      </c>
      <c r="E27" s="18" t="inlineStr">
        <is>
          <t>Partially implemented</t>
        </is>
      </c>
      <c r="F27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27" t="inlineStr">
        <is>
          <t>Current state includes documented gaps; treatment is tracked in Risk Register R-01 to R-09 and linked procedures.</t>
        </is>
      </c>
    </row>
    <row r="28">
      <c r="A28" s="27" t="n"/>
      <c r="C28" s="1" t="inlineStr">
        <is>
          <t>A.5.14 Information transfer</t>
        </is>
      </c>
      <c r="D28" s="18" t="inlineStr">
        <is>
          <t>Yes</t>
        </is>
      </c>
      <c r="E28" s="18" t="inlineStr">
        <is>
          <t>Partially implemented</t>
        </is>
      </c>
      <c r="F28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28" t="inlineStr">
        <is>
          <t>Current state includes documented gaps; treatment is tracked in Risk Register R-01 to R-09 and linked procedures.</t>
        </is>
      </c>
    </row>
    <row r="29">
      <c r="A29" s="27" t="n"/>
      <c r="C29" s="1" t="inlineStr">
        <is>
          <t>A.5.15 Access control</t>
        </is>
      </c>
      <c r="D29" s="18" t="inlineStr">
        <is>
          <t>Yes</t>
        </is>
      </c>
      <c r="E29" s="18" t="inlineStr">
        <is>
          <t>Partially implemented</t>
        </is>
      </c>
      <c r="F29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29" t="inlineStr">
        <is>
          <t>Current state includes documented gaps; treatment is tracked in Risk Register R-01 to R-09 and linked procedures.</t>
        </is>
      </c>
    </row>
    <row r="30">
      <c r="A30" s="27" t="n"/>
      <c r="C30" s="1" t="inlineStr">
        <is>
          <t>A.5.16 Identity management</t>
        </is>
      </c>
      <c r="D30" s="18" t="inlineStr">
        <is>
          <t>Yes</t>
        </is>
      </c>
      <c r="E30" s="18" t="inlineStr">
        <is>
          <t>Partially implemented</t>
        </is>
      </c>
      <c r="F30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30" t="inlineStr">
        <is>
          <t>Current state includes documented gaps; treatment is tracked in Risk Register R-01 to R-09 and linked procedures.</t>
        </is>
      </c>
    </row>
    <row r="31">
      <c r="A31" s="27" t="n"/>
      <c r="C31" s="1" t="inlineStr">
        <is>
          <t>A.5.17 Authentication information</t>
        </is>
      </c>
      <c r="D31" s="18" t="inlineStr">
        <is>
          <t>Yes</t>
        </is>
      </c>
      <c r="E31" s="18" t="inlineStr">
        <is>
          <t>Partially implemented</t>
        </is>
      </c>
      <c r="F31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31" t="inlineStr">
        <is>
          <t>Current state includes documented gaps; treatment is tracked in Risk Register R-01 to R-09 and linked procedures.</t>
        </is>
      </c>
    </row>
    <row r="32">
      <c r="A32" s="27" t="n"/>
      <c r="C32" s="1" t="inlineStr">
        <is>
          <t>A.5.18 Access rights</t>
        </is>
      </c>
      <c r="D32" s="18" t="inlineStr">
        <is>
          <t>Yes</t>
        </is>
      </c>
      <c r="E32" s="18" t="inlineStr">
        <is>
          <t>Partially implemented</t>
        </is>
      </c>
      <c r="F32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32" t="inlineStr">
        <is>
          <t>Current state includes documented gaps; treatment is tracked in Risk Register R-01 to R-09 and linked procedures.</t>
        </is>
      </c>
    </row>
    <row r="33">
      <c r="A33" s="27" t="n"/>
      <c r="C33" s="1" t="inlineStr">
        <is>
          <t>A.5.19 Information security in supplier relationships</t>
        </is>
      </c>
      <c r="D33" s="18" t="inlineStr">
        <is>
          <t>Yes</t>
        </is>
      </c>
      <c r="E33" s="18" t="inlineStr">
        <is>
          <t>Partially implemented</t>
        </is>
      </c>
      <c r="F33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33" t="inlineStr">
        <is>
          <t>Current state includes documented gaps; treatment is tracked in Risk Register R-01 to R-09 and linked procedures.</t>
        </is>
      </c>
    </row>
    <row r="34">
      <c r="A34" s="27" t="n"/>
      <c r="C34" s="1" t="inlineStr">
        <is>
          <t>A.5.20 Addressing information security within supplier agreements</t>
        </is>
      </c>
      <c r="D34" s="18" t="inlineStr">
        <is>
          <t>Yes</t>
        </is>
      </c>
      <c r="E34" s="18" t="inlineStr">
        <is>
          <t>Partially implemented</t>
        </is>
      </c>
      <c r="F34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34" t="inlineStr">
        <is>
          <t>Current state includes documented gaps; treatment is tracked in Risk Register R-01 to R-09 and linked procedures.</t>
        </is>
      </c>
    </row>
    <row r="35">
      <c r="A35" s="27" t="n"/>
      <c r="C35" s="1" t="inlineStr">
        <is>
          <t>A.5.21 Managing information security in the ICT supply chain</t>
        </is>
      </c>
      <c r="D35" s="18" t="inlineStr">
        <is>
          <t>Yes</t>
        </is>
      </c>
      <c r="E35" s="18" t="inlineStr">
        <is>
          <t>Partially implemented</t>
        </is>
      </c>
      <c r="F35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35" t="inlineStr">
        <is>
          <t>Current state includes documented gaps; treatment is tracked in Risk Register R-01 to R-09 and linked procedures.</t>
        </is>
      </c>
    </row>
    <row r="36">
      <c r="A36" s="27" t="n"/>
      <c r="C36" s="1" t="inlineStr">
        <is>
          <t>A.5.22 Monitoring, review and change management of supplier services</t>
        </is>
      </c>
      <c r="D36" s="18" t="inlineStr">
        <is>
          <t>Yes</t>
        </is>
      </c>
      <c r="E36" s="18" t="inlineStr">
        <is>
          <t>Partially implemented</t>
        </is>
      </c>
      <c r="F36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36" t="inlineStr">
        <is>
          <t>Current state includes documented gaps; treatment is tracked in Risk Register R-01 to R-09 and linked procedures.</t>
        </is>
      </c>
    </row>
    <row r="37">
      <c r="A37" s="27" t="n"/>
      <c r="C37" s="1" t="inlineStr">
        <is>
          <t>A.5.23 Information security for use of cloud services</t>
        </is>
      </c>
      <c r="D37" s="18" t="inlineStr">
        <is>
          <t>Yes</t>
        </is>
      </c>
      <c r="E37" s="18" t="inlineStr">
        <is>
          <t>Partially implemented</t>
        </is>
      </c>
      <c r="F37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37" t="inlineStr">
        <is>
          <t>Current state includes documented gaps; treatment is tracked in Risk Register R-01 to R-09 and linked procedures.</t>
        </is>
      </c>
    </row>
    <row r="38">
      <c r="A38" s="27" t="n"/>
      <c r="C38" s="1" t="inlineStr">
        <is>
          <t>A.5.24 Information security incident management planning and preparation</t>
        </is>
      </c>
      <c r="D38" s="18" t="inlineStr">
        <is>
          <t>Yes</t>
        </is>
      </c>
      <c r="E38" s="18" t="inlineStr">
        <is>
          <t>Partially implemented</t>
        </is>
      </c>
      <c r="F38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38" t="inlineStr">
        <is>
          <t>Current state includes documented gaps; treatment is tracked in Risk Register R-01 to R-09 and linked procedures.</t>
        </is>
      </c>
    </row>
    <row r="39">
      <c r="A39" s="27" t="n"/>
      <c r="C39" s="1" t="inlineStr">
        <is>
          <t>A.5.25 Assessment and decision on information security events</t>
        </is>
      </c>
      <c r="D39" s="18" t="inlineStr">
        <is>
          <t>Yes</t>
        </is>
      </c>
      <c r="E39" s="18" t="inlineStr">
        <is>
          <t>Partially implemented</t>
        </is>
      </c>
      <c r="F39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39" t="inlineStr">
        <is>
          <t>Current state includes documented gaps; treatment is tracked in Risk Register R-01 to R-09 and linked procedures.</t>
        </is>
      </c>
    </row>
    <row r="40">
      <c r="A40" s="27" t="n"/>
      <c r="C40" s="1" t="inlineStr">
        <is>
          <t>A.5.26 Response to information security incidents</t>
        </is>
      </c>
      <c r="D40" s="18" t="inlineStr">
        <is>
          <t>Yes</t>
        </is>
      </c>
      <c r="E40" s="18" t="inlineStr">
        <is>
          <t>Partially implemented</t>
        </is>
      </c>
      <c r="F40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40" t="inlineStr">
        <is>
          <t>Current state includes documented gaps; treatment is tracked in Risk Register R-01 to R-09 and linked procedures.</t>
        </is>
      </c>
    </row>
    <row r="41">
      <c r="A41" s="27" t="n"/>
      <c r="C41" s="1" t="inlineStr">
        <is>
          <t>A.5.27 Learning from information security incidents</t>
        </is>
      </c>
      <c r="D41" s="18" t="inlineStr">
        <is>
          <t>Yes</t>
        </is>
      </c>
      <c r="E41" s="18" t="inlineStr">
        <is>
          <t>Partially implemented</t>
        </is>
      </c>
      <c r="F41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41" t="inlineStr">
        <is>
          <t>Current state includes documented gaps; treatment is tracked in Risk Register R-01 to R-09 and linked procedures.</t>
        </is>
      </c>
    </row>
    <row r="42">
      <c r="A42" s="27" t="n"/>
      <c r="C42" s="1" t="inlineStr">
        <is>
          <t>A.5.28 Collection of evidence</t>
        </is>
      </c>
      <c r="D42" s="18" t="inlineStr">
        <is>
          <t>Yes</t>
        </is>
      </c>
      <c r="E42" s="18" t="inlineStr">
        <is>
          <t>Partially implemented</t>
        </is>
      </c>
      <c r="F42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42" t="inlineStr">
        <is>
          <t>Current state includes documented gaps; treatment is tracked in Risk Register R-01 to R-09 and linked procedures.</t>
        </is>
      </c>
    </row>
    <row r="43">
      <c r="A43" s="27" t="n"/>
      <c r="C43" s="1" t="inlineStr">
        <is>
          <t>A.5.29 Information security during disruption</t>
        </is>
      </c>
      <c r="D43" s="18" t="inlineStr">
        <is>
          <t>Yes</t>
        </is>
      </c>
      <c r="E43" s="18" t="inlineStr">
        <is>
          <t>Partially implemented</t>
        </is>
      </c>
      <c r="F43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43" t="inlineStr">
        <is>
          <t>Current state includes documented gaps; treatment is tracked in Risk Register R-01 to R-09 and linked procedures.</t>
        </is>
      </c>
    </row>
    <row r="44">
      <c r="A44" s="27" t="n"/>
      <c r="C44" s="1" t="inlineStr">
        <is>
          <t>A.5.30 ICT readiness for business continuity</t>
        </is>
      </c>
      <c r="D44" s="18" t="inlineStr">
        <is>
          <t>Yes</t>
        </is>
      </c>
      <c r="E44" s="18" t="inlineStr">
        <is>
          <t>Partially implemented</t>
        </is>
      </c>
      <c r="F44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44" t="inlineStr">
        <is>
          <t>Current state includes documented gaps; treatment is tracked in Risk Register R-01 to R-09 and linked procedures.</t>
        </is>
      </c>
    </row>
    <row r="45">
      <c r="A45" s="27" t="n"/>
      <c r="C45" s="1" t="inlineStr">
        <is>
          <t>A.5.31 Legal, statutory, regulatory and contractual requirements</t>
        </is>
      </c>
      <c r="D45" s="18" t="inlineStr">
        <is>
          <t>Yes</t>
        </is>
      </c>
      <c r="E45" s="18" t="inlineStr">
        <is>
          <t>Partially implemented</t>
        </is>
      </c>
      <c r="F45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45" t="inlineStr">
        <is>
          <t>Current state includes documented gaps; treatment is tracked in Risk Register R-01 to R-09 and linked procedures.</t>
        </is>
      </c>
    </row>
    <row r="46">
      <c r="A46" s="27" t="n"/>
      <c r="C46" s="1" t="inlineStr">
        <is>
          <t>A.5.32 Intellectual property rights</t>
        </is>
      </c>
      <c r="D46" s="18" t="inlineStr">
        <is>
          <t>Yes</t>
        </is>
      </c>
      <c r="E46" s="18" t="inlineStr">
        <is>
          <t>Partially implemented</t>
        </is>
      </c>
      <c r="F46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46" t="inlineStr">
        <is>
          <t>Current state includes documented gaps; treatment is tracked in Risk Register R-01 to R-09 and linked procedures.</t>
        </is>
      </c>
    </row>
    <row r="47">
      <c r="A47" s="27" t="n"/>
      <c r="C47" s="1" t="inlineStr">
        <is>
          <t>A.5.33 Protection of records</t>
        </is>
      </c>
      <c r="D47" s="18" t="inlineStr">
        <is>
          <t>Yes</t>
        </is>
      </c>
      <c r="E47" s="18" t="inlineStr">
        <is>
          <t>Partially implemented</t>
        </is>
      </c>
      <c r="F47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47" t="inlineStr">
        <is>
          <t>Current state includes documented gaps; treatment is tracked in Risk Register R-01 to R-09 and linked procedures.</t>
        </is>
      </c>
    </row>
    <row r="48">
      <c r="A48" s="27" t="n"/>
      <c r="C48" s="1" t="inlineStr">
        <is>
          <t>A.5.34 Privacy and protection of PII</t>
        </is>
      </c>
      <c r="D48" s="18" t="inlineStr">
        <is>
          <t>Yes</t>
        </is>
      </c>
      <c r="E48" s="18" t="inlineStr">
        <is>
          <t>Partially implemented</t>
        </is>
      </c>
      <c r="F48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48" t="inlineStr">
        <is>
          <t>Current state includes documented gaps; treatment is tracked in Risk Register R-01 to R-09 and linked procedures.</t>
        </is>
      </c>
    </row>
    <row r="49">
      <c r="A49" s="27" t="n"/>
      <c r="C49" s="1" t="inlineStr">
        <is>
          <t>A.5.35 Independent review of information security</t>
        </is>
      </c>
      <c r="D49" s="18" t="inlineStr">
        <is>
          <t>Yes</t>
        </is>
      </c>
      <c r="E49" s="18" t="inlineStr">
        <is>
          <t>Partially implemented</t>
        </is>
      </c>
      <c r="F49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49" t="inlineStr">
        <is>
          <t>Current state includes documented gaps; treatment is tracked in Risk Register R-01 to R-09 and linked procedures.</t>
        </is>
      </c>
    </row>
    <row r="50">
      <c r="A50" s="27" t="n"/>
      <c r="C50" s="1" t="inlineStr">
        <is>
          <t>A.5.36 Compliance with policies, rules and standards for information security</t>
        </is>
      </c>
      <c r="D50" s="18" t="inlineStr">
        <is>
          <t>Yes</t>
        </is>
      </c>
      <c r="E50" s="18" t="inlineStr">
        <is>
          <t>Partially implemented</t>
        </is>
      </c>
      <c r="F50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50" t="inlineStr">
        <is>
          <t>Current state includes documented gaps; treatment is tracked in Risk Register R-01 to R-09 and linked procedures.</t>
        </is>
      </c>
    </row>
    <row r="51">
      <c r="A51" s="27" t="n"/>
      <c r="C51" s="1" t="inlineStr">
        <is>
          <t>A.5.37 Documented operating procedures</t>
        </is>
      </c>
      <c r="D51" s="18" t="inlineStr">
        <is>
          <t>Yes</t>
        </is>
      </c>
      <c r="E51" s="18" t="inlineStr">
        <is>
          <t>Partially implemented</t>
        </is>
      </c>
      <c r="F51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51" t="inlineStr">
        <is>
          <t>Current state includes documented gaps; treatment is tracked in Risk Register R-01 to R-09 and linked procedures.</t>
        </is>
      </c>
    </row>
    <row r="52"/>
    <row r="53">
      <c r="B53" s="17" t="n"/>
      <c r="C53" s="19" t="inlineStr">
        <is>
          <t>Totals:</t>
        </is>
      </c>
      <c r="D53" s="20" t="inlineStr">
        <is>
          <t>Yes</t>
        </is>
      </c>
      <c r="E53" s="20" t="inlineStr">
        <is>
          <t>Partially implemented</t>
        </is>
      </c>
      <c r="F53" s="17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53" s="17" t="inlineStr">
        <is>
          <t>Current state includes documented gaps; treatment is tracked in Risk Register R-01 to R-09 and linked procedures.</t>
        </is>
      </c>
    </row>
    <row r="54"/>
    <row r="55" ht="18.75" customHeight="1" s="63">
      <c r="B55" s="22" t="inlineStr">
        <is>
          <t>A.6 People controls</t>
        </is>
      </c>
      <c r="D55" t="inlineStr">
        <is>
          <t>Yes</t>
        </is>
      </c>
      <c r="E55" t="inlineStr">
        <is>
          <t>Partially implemented</t>
        </is>
      </c>
      <c r="F55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55" t="inlineStr">
        <is>
          <t>Current state includes documented gaps; treatment is tracked in Risk Register R-01 to R-09 and linked procedures.</t>
        </is>
      </c>
    </row>
    <row r="56">
      <c r="C56" s="1" t="inlineStr">
        <is>
          <t>A.6.1 Screening</t>
        </is>
      </c>
      <c r="D56" s="18" t="inlineStr">
        <is>
          <t>Yes</t>
        </is>
      </c>
      <c r="E56" s="18" t="inlineStr">
        <is>
          <t>Partially implemented</t>
        </is>
      </c>
      <c r="F56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56" t="inlineStr">
        <is>
          <t>Current state includes documented gaps; treatment is tracked in Risk Register R-01 to R-09 and linked procedures.</t>
        </is>
      </c>
    </row>
    <row r="57">
      <c r="C57" s="1" t="inlineStr">
        <is>
          <t>A.6.2 Terms and conditions of employment</t>
        </is>
      </c>
      <c r="D57" s="18" t="inlineStr">
        <is>
          <t>Yes</t>
        </is>
      </c>
      <c r="E57" s="18" t="inlineStr">
        <is>
          <t>Partially implemented</t>
        </is>
      </c>
      <c r="F57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57" t="inlineStr">
        <is>
          <t>Current state includes documented gaps; treatment is tracked in Risk Register R-01 to R-09 and linked procedures.</t>
        </is>
      </c>
    </row>
    <row r="58">
      <c r="C58" s="1" t="inlineStr">
        <is>
          <t>A.6.3 Information security awareness, education and training</t>
        </is>
      </c>
      <c r="D58" s="18" t="inlineStr">
        <is>
          <t>Yes</t>
        </is>
      </c>
      <c r="E58" s="18" t="inlineStr">
        <is>
          <t>Partially implemented</t>
        </is>
      </c>
      <c r="F58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58" t="inlineStr">
        <is>
          <t>Current state includes documented gaps; treatment is tracked in Risk Register R-01 to R-09 and linked procedures.</t>
        </is>
      </c>
    </row>
    <row r="59">
      <c r="C59" s="1" t="inlineStr">
        <is>
          <t>A.6.4 Disciplinary process</t>
        </is>
      </c>
      <c r="D59" s="18" t="inlineStr">
        <is>
          <t>Yes</t>
        </is>
      </c>
      <c r="E59" s="18" t="inlineStr">
        <is>
          <t>Partially implemented</t>
        </is>
      </c>
      <c r="F59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59" t="inlineStr">
        <is>
          <t>Current state includes documented gaps; treatment is tracked in Risk Register R-01 to R-09 and linked procedures.</t>
        </is>
      </c>
    </row>
    <row r="60">
      <c r="C60" s="1" t="inlineStr">
        <is>
          <t>A.6.5 Responsibilities after termination or change of employment</t>
        </is>
      </c>
      <c r="D60" s="18" t="inlineStr">
        <is>
          <t>Yes</t>
        </is>
      </c>
      <c r="E60" s="18" t="inlineStr">
        <is>
          <t>Partially implemented</t>
        </is>
      </c>
      <c r="F60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60" t="inlineStr">
        <is>
          <t>Current state includes documented gaps; treatment is tracked in Risk Register R-01 to R-09 and linked procedures.</t>
        </is>
      </c>
    </row>
    <row r="61">
      <c r="C61" s="1" t="inlineStr">
        <is>
          <t>A.6.6 Confidentiality or non-disclosure agreements</t>
        </is>
      </c>
      <c r="D61" s="18" t="inlineStr">
        <is>
          <t>Yes</t>
        </is>
      </c>
      <c r="E61" s="18" t="inlineStr">
        <is>
          <t>Partially implemented</t>
        </is>
      </c>
      <c r="F61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61" t="inlineStr">
        <is>
          <t>Current state includes documented gaps; treatment is tracked in Risk Register R-01 to R-09 and linked procedures.</t>
        </is>
      </c>
    </row>
    <row r="62">
      <c r="C62" s="1" t="inlineStr">
        <is>
          <t>A.6.7 Remote working</t>
        </is>
      </c>
      <c r="D62" s="18" t="inlineStr">
        <is>
          <t>Yes</t>
        </is>
      </c>
      <c r="E62" s="18" t="inlineStr">
        <is>
          <t>Partially implemented</t>
        </is>
      </c>
      <c r="F62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62" t="inlineStr">
        <is>
          <t>Current state includes documented gaps; treatment is tracked in Risk Register R-01 to R-09 and linked procedures.</t>
        </is>
      </c>
    </row>
    <row r="63">
      <c r="C63" s="1" t="inlineStr">
        <is>
          <t>A.6.8 Information security event reporting</t>
        </is>
      </c>
      <c r="D63" s="18" t="inlineStr">
        <is>
          <t>Yes</t>
        </is>
      </c>
      <c r="E63" s="18" t="inlineStr">
        <is>
          <t>Partially implemented</t>
        </is>
      </c>
      <c r="F63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63" t="inlineStr">
        <is>
          <t>Current state includes documented gaps; treatment is tracked in Risk Register R-01 to R-09 and linked procedures.</t>
        </is>
      </c>
    </row>
    <row r="64"/>
    <row r="65">
      <c r="B65" s="17" t="n"/>
      <c r="C65" s="19" t="inlineStr">
        <is>
          <t>Totals:</t>
        </is>
      </c>
      <c r="D65" s="20" t="inlineStr">
        <is>
          <t>Yes</t>
        </is>
      </c>
      <c r="E65" s="20" t="inlineStr">
        <is>
          <t>Partially implemented</t>
        </is>
      </c>
      <c r="F65" s="17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65" s="17" t="inlineStr">
        <is>
          <t>Current state includes documented gaps; treatment is tracked in Risk Register R-01 to R-09 and linked procedures.</t>
        </is>
      </c>
    </row>
    <row r="66"/>
    <row r="67" ht="18.75" customHeight="1" s="63">
      <c r="B67" s="22" t="inlineStr">
        <is>
          <t>A.7 Physical controls</t>
        </is>
      </c>
      <c r="D67" t="inlineStr">
        <is>
          <t>Yes</t>
        </is>
      </c>
      <c r="E67" t="inlineStr">
        <is>
          <t>Partially implemented</t>
        </is>
      </c>
      <c r="F67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67" t="inlineStr">
        <is>
          <t>Current state includes documented gaps; treatment is tracked in Risk Register R-01 to R-09 and linked procedures.</t>
        </is>
      </c>
    </row>
    <row r="68" ht="15" customHeight="1" s="63">
      <c r="B68" s="22" t="n"/>
      <c r="C68" s="1" t="inlineStr">
        <is>
          <t>A.7.1 Physical security perimeters</t>
        </is>
      </c>
      <c r="D68" s="18" t="inlineStr">
        <is>
          <t>Yes</t>
        </is>
      </c>
      <c r="E68" s="18" t="inlineStr">
        <is>
          <t>Partially implemented</t>
        </is>
      </c>
      <c r="F68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68" t="inlineStr">
        <is>
          <t>Current state includes documented gaps; treatment is tracked in Risk Register R-01 to R-09 and linked procedures.</t>
        </is>
      </c>
    </row>
    <row r="69" ht="15" customHeight="1" s="63">
      <c r="B69" s="22" t="n"/>
      <c r="C69" s="1" t="inlineStr">
        <is>
          <t>A.7.2 Physical entry</t>
        </is>
      </c>
      <c r="D69" s="18" t="inlineStr">
        <is>
          <t>Yes</t>
        </is>
      </c>
      <c r="E69" s="18" t="inlineStr">
        <is>
          <t>Partially implemented</t>
        </is>
      </c>
      <c r="F69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69" t="inlineStr">
        <is>
          <t>Current state includes documented gaps; treatment is tracked in Risk Register R-01 to R-09 and linked procedures.</t>
        </is>
      </c>
    </row>
    <row r="70" ht="15" customHeight="1" s="63">
      <c r="B70" s="22" t="n"/>
      <c r="C70" s="1" t="inlineStr">
        <is>
          <t>A.7.3 Securing offices, rooms and facilities</t>
        </is>
      </c>
      <c r="D70" s="18" t="inlineStr">
        <is>
          <t>Yes</t>
        </is>
      </c>
      <c r="E70" s="18" t="inlineStr">
        <is>
          <t>Partially implemented</t>
        </is>
      </c>
      <c r="F70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70" t="inlineStr">
        <is>
          <t>Current state includes documented gaps; treatment is tracked in Risk Register R-01 to R-09 and linked procedures.</t>
        </is>
      </c>
    </row>
    <row r="71" ht="15" customHeight="1" s="63">
      <c r="B71" s="22" t="n"/>
      <c r="C71" s="1" t="inlineStr">
        <is>
          <t>A.7.4 Physical security monitoring</t>
        </is>
      </c>
      <c r="D71" s="18" t="inlineStr">
        <is>
          <t>Yes</t>
        </is>
      </c>
      <c r="E71" s="18" t="inlineStr">
        <is>
          <t>Partially implemented</t>
        </is>
      </c>
      <c r="F71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71" t="inlineStr">
        <is>
          <t>Current state includes documented gaps; treatment is tracked in Risk Register R-01 to R-09 and linked procedures.</t>
        </is>
      </c>
    </row>
    <row r="72" ht="15" customHeight="1" s="63">
      <c r="B72" s="22" t="n"/>
      <c r="C72" s="1" t="inlineStr">
        <is>
          <t>A.7.5 Protecting against physical and environmental threats</t>
        </is>
      </c>
      <c r="D72" s="18" t="inlineStr">
        <is>
          <t>Yes</t>
        </is>
      </c>
      <c r="E72" s="18" t="inlineStr">
        <is>
          <t>Partially implemented</t>
        </is>
      </c>
      <c r="F72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72" t="inlineStr">
        <is>
          <t>Current state includes documented gaps; treatment is tracked in Risk Register R-01 to R-09 and linked procedures.</t>
        </is>
      </c>
    </row>
    <row r="73" ht="15" customHeight="1" s="63">
      <c r="B73" s="22" t="n"/>
      <c r="C73" s="1" t="inlineStr">
        <is>
          <t>A.7.6 Working in secure areas</t>
        </is>
      </c>
      <c r="D73" s="18" t="inlineStr">
        <is>
          <t>Yes</t>
        </is>
      </c>
      <c r="E73" s="18" t="inlineStr">
        <is>
          <t>Partially implemented</t>
        </is>
      </c>
      <c r="F73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73" t="inlineStr">
        <is>
          <t>Current state includes documented gaps; treatment is tracked in Risk Register R-01 to R-09 and linked procedures.</t>
        </is>
      </c>
    </row>
    <row r="74" ht="15" customHeight="1" s="63">
      <c r="C74" s="1" t="inlineStr">
        <is>
          <t>A.7.7 Clear desk and clear screen</t>
        </is>
      </c>
      <c r="D74" s="18" t="inlineStr">
        <is>
          <t>Yes</t>
        </is>
      </c>
      <c r="E74" s="18" t="inlineStr">
        <is>
          <t>Partially implemented</t>
        </is>
      </c>
      <c r="F74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74" t="inlineStr">
        <is>
          <t>Current state includes documented gaps; treatment is tracked in Risk Register R-01 to R-09 and linked procedures.</t>
        </is>
      </c>
    </row>
    <row r="75" ht="15" customHeight="1" s="63">
      <c r="C75" s="1" t="inlineStr">
        <is>
          <t>A.7.8 Equipment siting and protection</t>
        </is>
      </c>
      <c r="D75" s="18" t="inlineStr">
        <is>
          <t>Yes</t>
        </is>
      </c>
      <c r="E75" s="18" t="inlineStr">
        <is>
          <t>Partially implemented</t>
        </is>
      </c>
      <c r="F75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75" t="inlineStr">
        <is>
          <t>Current state includes documented gaps; treatment is tracked in Risk Register R-01 to R-09 and linked procedures.</t>
        </is>
      </c>
    </row>
    <row r="76" ht="15" customHeight="1" s="63">
      <c r="C76" s="1" t="inlineStr">
        <is>
          <t>A.7.9 Security of assets off-premises</t>
        </is>
      </c>
      <c r="D76" s="18" t="inlineStr">
        <is>
          <t>Yes</t>
        </is>
      </c>
      <c r="E76" s="18" t="inlineStr">
        <is>
          <t>Partially implemented</t>
        </is>
      </c>
      <c r="F76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76" t="inlineStr">
        <is>
          <t>Current state includes documented gaps; treatment is tracked in Risk Register R-01 to R-09 and linked procedures.</t>
        </is>
      </c>
    </row>
    <row r="77" ht="15" customHeight="1" s="63">
      <c r="C77" s="1" t="inlineStr">
        <is>
          <t>A.7.10 Storage media</t>
        </is>
      </c>
      <c r="D77" s="18" t="inlineStr">
        <is>
          <t>Yes</t>
        </is>
      </c>
      <c r="E77" s="18" t="inlineStr">
        <is>
          <t>Partially implemented</t>
        </is>
      </c>
      <c r="F77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77" t="inlineStr">
        <is>
          <t>Current state includes documented gaps; treatment is tracked in Risk Register R-01 to R-09 and linked procedures.</t>
        </is>
      </c>
    </row>
    <row r="78" ht="15" customHeight="1" s="63">
      <c r="C78" s="1" t="inlineStr">
        <is>
          <t>A.7.11 Supporting utilities</t>
        </is>
      </c>
      <c r="D78" s="18" t="inlineStr">
        <is>
          <t>Yes</t>
        </is>
      </c>
      <c r="E78" s="18" t="inlineStr">
        <is>
          <t>Partially implemented</t>
        </is>
      </c>
      <c r="F78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78" t="inlineStr">
        <is>
          <t>Current state includes documented gaps; treatment is tracked in Risk Register R-01 to R-09 and linked procedures.</t>
        </is>
      </c>
    </row>
    <row r="79" ht="15" customHeight="1" s="63">
      <c r="C79" s="1" t="inlineStr">
        <is>
          <t>A.7.12 Cabling security</t>
        </is>
      </c>
      <c r="D79" s="18" t="inlineStr">
        <is>
          <t>Yes</t>
        </is>
      </c>
      <c r="E79" s="18" t="inlineStr">
        <is>
          <t>Partially implemented</t>
        </is>
      </c>
      <c r="F79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79" t="inlineStr">
        <is>
          <t>Current state includes documented gaps; treatment is tracked in Risk Register R-01 to R-09 and linked procedures.</t>
        </is>
      </c>
    </row>
    <row r="80" ht="15" customHeight="1" s="63">
      <c r="C80" s="1" t="inlineStr">
        <is>
          <t>A.7.13 Equipment maintenance</t>
        </is>
      </c>
      <c r="D80" s="18" t="inlineStr">
        <is>
          <t>Yes</t>
        </is>
      </c>
      <c r="E80" s="18" t="inlineStr">
        <is>
          <t>Partially implemented</t>
        </is>
      </c>
      <c r="F80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80" t="inlineStr">
        <is>
          <t>Current state includes documented gaps; treatment is tracked in Risk Register R-01 to R-09 and linked procedures.</t>
        </is>
      </c>
    </row>
    <row r="81" ht="15" customHeight="1" s="63">
      <c r="C81" s="1" t="inlineStr">
        <is>
          <t>A.7.14 Secure disposal or re-use of equipment</t>
        </is>
      </c>
      <c r="D81" s="18" t="inlineStr">
        <is>
          <t>Yes</t>
        </is>
      </c>
      <c r="E81" s="18" t="inlineStr">
        <is>
          <t>Partially implemented</t>
        </is>
      </c>
      <c r="F81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81" t="inlineStr">
        <is>
          <t>Current state includes documented gaps; treatment is tracked in Risk Register R-01 to R-09 and linked procedures.</t>
        </is>
      </c>
    </row>
    <row r="82"/>
    <row r="83">
      <c r="B83" s="17" t="n"/>
      <c r="C83" s="19" t="inlineStr">
        <is>
          <t>Totals:</t>
        </is>
      </c>
      <c r="D83" s="20" t="inlineStr">
        <is>
          <t>Yes</t>
        </is>
      </c>
      <c r="E83" s="20" t="inlineStr">
        <is>
          <t>Partially implemented</t>
        </is>
      </c>
      <c r="F83" s="17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83" s="17" t="inlineStr">
        <is>
          <t>Current state includes documented gaps; treatment is tracked in Risk Register R-01 to R-09 and linked procedures.</t>
        </is>
      </c>
    </row>
    <row r="84"/>
    <row r="85" ht="18.75" customHeight="1" s="63">
      <c r="B85" s="22" t="inlineStr">
        <is>
          <t>A.8 Technological controls</t>
        </is>
      </c>
      <c r="D85" t="inlineStr">
        <is>
          <t>Yes</t>
        </is>
      </c>
      <c r="E85" t="inlineStr">
        <is>
          <t>Partially implemented</t>
        </is>
      </c>
      <c r="F85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85" t="inlineStr">
        <is>
          <t>Current state includes documented gaps; treatment is tracked in Risk Register R-01 to R-09 and linked procedures.</t>
        </is>
      </c>
    </row>
    <row r="86" ht="15" customHeight="1" s="63">
      <c r="B86" s="22" t="n"/>
      <c r="C86" s="1" t="inlineStr">
        <is>
          <t>A.8.1 User endpoint devices</t>
        </is>
      </c>
      <c r="D86" s="18" t="inlineStr">
        <is>
          <t>Yes</t>
        </is>
      </c>
      <c r="E86" s="18" t="inlineStr">
        <is>
          <t>Partially implemented</t>
        </is>
      </c>
      <c r="F86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86" t="inlineStr">
        <is>
          <t>Current state includes documented gaps; treatment is tracked in Risk Register R-01 to R-09 and linked procedures.</t>
        </is>
      </c>
    </row>
    <row r="87" ht="15" customHeight="1" s="63">
      <c r="B87" s="22" t="n"/>
      <c r="C87" s="1" t="inlineStr">
        <is>
          <t>A.8.2 Privileged access rights</t>
        </is>
      </c>
      <c r="D87" s="18" t="inlineStr">
        <is>
          <t>Yes</t>
        </is>
      </c>
      <c r="E87" s="18" t="inlineStr">
        <is>
          <t>Partially implemented</t>
        </is>
      </c>
      <c r="F87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87" t="inlineStr">
        <is>
          <t>Current state includes documented gaps; treatment is tracked in Risk Register R-01 to R-09 and linked procedures.</t>
        </is>
      </c>
    </row>
    <row r="88" ht="15" customHeight="1" s="63">
      <c r="B88" s="22" t="n"/>
      <c r="C88" s="1" t="inlineStr">
        <is>
          <t>A.8.3 Information access restriction</t>
        </is>
      </c>
      <c r="D88" s="18" t="inlineStr">
        <is>
          <t>Yes</t>
        </is>
      </c>
      <c r="E88" s="18" t="inlineStr">
        <is>
          <t>Partially implemented</t>
        </is>
      </c>
      <c r="F88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88" t="inlineStr">
        <is>
          <t>Current state includes documented gaps; treatment is tracked in Risk Register R-01 to R-09 and linked procedures.</t>
        </is>
      </c>
    </row>
    <row r="89" ht="15" customHeight="1" s="63">
      <c r="B89" s="22" t="n"/>
      <c r="C89" s="1" t="inlineStr">
        <is>
          <t>A.8.4 Access to source code</t>
        </is>
      </c>
      <c r="D89" s="18" t="inlineStr">
        <is>
          <t>Yes</t>
        </is>
      </c>
      <c r="E89" s="18" t="inlineStr">
        <is>
          <t>Partially implemented</t>
        </is>
      </c>
      <c r="F89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89" t="inlineStr">
        <is>
          <t>Current state includes documented gaps; treatment is tracked in Risk Register R-01 to R-09 and linked procedures.</t>
        </is>
      </c>
    </row>
    <row r="90" ht="15" customHeight="1" s="63">
      <c r="B90" s="22" t="n"/>
      <c r="C90" s="1" t="inlineStr">
        <is>
          <t>A.8.5 Secure authentication</t>
        </is>
      </c>
      <c r="D90" s="18" t="inlineStr">
        <is>
          <t>Yes</t>
        </is>
      </c>
      <c r="E90" s="18" t="inlineStr">
        <is>
          <t>Partially implemented</t>
        </is>
      </c>
      <c r="F90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90" t="inlineStr">
        <is>
          <t>Current state includes documented gaps; treatment is tracked in Risk Register R-01 to R-09 and linked procedures.</t>
        </is>
      </c>
    </row>
    <row r="91" ht="15" customHeight="1" s="63">
      <c r="B91" s="22" t="n"/>
      <c r="C91" s="1" t="inlineStr">
        <is>
          <t>A.8.6 Capacity management</t>
        </is>
      </c>
      <c r="D91" s="18" t="inlineStr">
        <is>
          <t>Yes</t>
        </is>
      </c>
      <c r="E91" s="18" t="inlineStr">
        <is>
          <t>Partially implemented</t>
        </is>
      </c>
      <c r="F91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91" t="inlineStr">
        <is>
          <t>Current state includes documented gaps; treatment is tracked in Risk Register R-01 to R-09 and linked procedures.</t>
        </is>
      </c>
    </row>
    <row r="92" ht="15" customHeight="1" s="63">
      <c r="B92" s="22" t="n"/>
      <c r="C92" s="1" t="inlineStr">
        <is>
          <t>A.8.7 Protection against malware</t>
        </is>
      </c>
      <c r="D92" s="18" t="inlineStr">
        <is>
          <t>Yes</t>
        </is>
      </c>
      <c r="E92" s="18" t="inlineStr">
        <is>
          <t>Partially implemented</t>
        </is>
      </c>
      <c r="F92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92" t="inlineStr">
        <is>
          <t>Current state includes documented gaps; treatment is tracked in Risk Register R-01 to R-09 and linked procedures.</t>
        </is>
      </c>
    </row>
    <row r="93" ht="15" customHeight="1" s="63">
      <c r="B93" s="22" t="n"/>
      <c r="C93" s="1" t="inlineStr">
        <is>
          <t>A.8.8 Management of technical vulnerabilities</t>
        </is>
      </c>
      <c r="D93" s="18" t="inlineStr">
        <is>
          <t>Yes</t>
        </is>
      </c>
      <c r="E93" s="18" t="inlineStr">
        <is>
          <t>Partially implemented</t>
        </is>
      </c>
      <c r="F93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93" t="inlineStr">
        <is>
          <t>Current state includes documented gaps; treatment is tracked in Risk Register R-01 to R-09 and linked procedures.</t>
        </is>
      </c>
    </row>
    <row r="94" ht="15" customHeight="1" s="63">
      <c r="B94" s="22" t="n"/>
      <c r="C94" s="1" t="inlineStr">
        <is>
          <t>A.8.9 Configuration management</t>
        </is>
      </c>
      <c r="D94" s="18" t="inlineStr">
        <is>
          <t>Yes</t>
        </is>
      </c>
      <c r="E94" s="18" t="inlineStr">
        <is>
          <t>Partially implemented</t>
        </is>
      </c>
      <c r="F94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94" t="inlineStr">
        <is>
          <t>Current state includes documented gaps; treatment is tracked in Risk Register R-01 to R-09 and linked procedures.</t>
        </is>
      </c>
    </row>
    <row r="95" ht="15" customHeight="1" s="63">
      <c r="B95" s="22" t="n"/>
      <c r="C95" s="1" t="inlineStr">
        <is>
          <t>A.8.10 Information deletion</t>
        </is>
      </c>
      <c r="D95" s="18" t="inlineStr">
        <is>
          <t>Yes</t>
        </is>
      </c>
      <c r="E95" s="18" t="inlineStr">
        <is>
          <t>Partially implemented</t>
        </is>
      </c>
      <c r="F95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95" t="inlineStr">
        <is>
          <t>Current state includes documented gaps; treatment is tracked in Risk Register R-01 to R-09 and linked procedures.</t>
        </is>
      </c>
    </row>
    <row r="96" ht="15" customHeight="1" s="63">
      <c r="B96" s="22" t="n"/>
      <c r="C96" s="1" t="inlineStr">
        <is>
          <t>A.8.11 Data masking</t>
        </is>
      </c>
      <c r="D96" s="18" t="inlineStr">
        <is>
          <t>Yes</t>
        </is>
      </c>
      <c r="E96" s="18" t="inlineStr">
        <is>
          <t>Partially implemented</t>
        </is>
      </c>
      <c r="F96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96" t="inlineStr">
        <is>
          <t>Current state includes documented gaps; treatment is tracked in Risk Register R-01 to R-09 and linked procedures.</t>
        </is>
      </c>
    </row>
    <row r="97" ht="15" customHeight="1" s="63">
      <c r="B97" s="22" t="n"/>
      <c r="C97" s="1" t="inlineStr">
        <is>
          <t>A.8.12 Data leakage prevention</t>
        </is>
      </c>
      <c r="D97" s="18" t="inlineStr">
        <is>
          <t>Yes</t>
        </is>
      </c>
      <c r="E97" s="18" t="inlineStr">
        <is>
          <t>Partially implemented</t>
        </is>
      </c>
      <c r="F97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97" t="inlineStr">
        <is>
          <t>Current state includes documented gaps; treatment is tracked in Risk Register R-01 to R-09 and linked procedures.</t>
        </is>
      </c>
    </row>
    <row r="98" ht="15" customHeight="1" s="63">
      <c r="B98" s="22" t="n"/>
      <c r="C98" s="1" t="inlineStr">
        <is>
          <t>A.8.13 Information backup</t>
        </is>
      </c>
      <c r="D98" s="18" t="inlineStr">
        <is>
          <t>Yes</t>
        </is>
      </c>
      <c r="E98" s="18" t="inlineStr">
        <is>
          <t>Partially implemented</t>
        </is>
      </c>
      <c r="F98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98" t="inlineStr">
        <is>
          <t>Current state includes documented gaps; treatment is tracked in Risk Register R-01 to R-09 and linked procedures.</t>
        </is>
      </c>
    </row>
    <row r="99" ht="15" customHeight="1" s="63">
      <c r="B99" s="22" t="n"/>
      <c r="C99" s="1" t="inlineStr">
        <is>
          <t>A.8.14 Redundancy of information processing facilities</t>
        </is>
      </c>
      <c r="D99" s="18" t="inlineStr">
        <is>
          <t>Yes</t>
        </is>
      </c>
      <c r="E99" s="18" t="inlineStr">
        <is>
          <t>Partially implemented</t>
        </is>
      </c>
      <c r="F99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99" t="inlineStr">
        <is>
          <t>Current state includes documented gaps; treatment is tracked in Risk Register R-01 to R-09 and linked procedures.</t>
        </is>
      </c>
    </row>
    <row r="100" ht="15" customHeight="1" s="63">
      <c r="B100" s="22" t="n"/>
      <c r="C100" s="1" t="inlineStr">
        <is>
          <t>A.8.15 Logging</t>
        </is>
      </c>
      <c r="D100" s="18" t="inlineStr">
        <is>
          <t>Yes</t>
        </is>
      </c>
      <c r="E100" s="18" t="inlineStr">
        <is>
          <t>Partially implemented</t>
        </is>
      </c>
      <c r="F100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00" t="inlineStr">
        <is>
          <t>Current state includes documented gaps; treatment is tracked in Risk Register R-01 to R-09 and linked procedures.</t>
        </is>
      </c>
    </row>
    <row r="101" ht="15" customHeight="1" s="63">
      <c r="B101" s="22" t="n"/>
      <c r="C101" s="1" t="inlineStr">
        <is>
          <t>A.8.16 Monitoring activities</t>
        </is>
      </c>
      <c r="D101" s="18" t="inlineStr">
        <is>
          <t>Yes</t>
        </is>
      </c>
      <c r="E101" s="18" t="inlineStr">
        <is>
          <t>Partially implemented</t>
        </is>
      </c>
      <c r="F101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01" t="inlineStr">
        <is>
          <t>Current state includes documented gaps; treatment is tracked in Risk Register R-01 to R-09 and linked procedures.</t>
        </is>
      </c>
    </row>
    <row r="102" ht="15" customHeight="1" s="63">
      <c r="B102" s="22" t="n"/>
      <c r="C102" s="1" t="inlineStr">
        <is>
          <t>A.8.17 Clock synchronization</t>
        </is>
      </c>
      <c r="D102" s="18" t="inlineStr">
        <is>
          <t>Yes</t>
        </is>
      </c>
      <c r="E102" s="18" t="inlineStr">
        <is>
          <t>Partially implemented</t>
        </is>
      </c>
      <c r="F102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02" t="inlineStr">
        <is>
          <t>Current state includes documented gaps; treatment is tracked in Risk Register R-01 to R-09 and linked procedures.</t>
        </is>
      </c>
    </row>
    <row r="103" ht="15" customHeight="1" s="63">
      <c r="B103" s="22" t="n"/>
      <c r="C103" s="1" t="inlineStr">
        <is>
          <t>A.8.18 Use of privileged utility programs</t>
        </is>
      </c>
      <c r="D103" s="18" t="inlineStr">
        <is>
          <t>Yes</t>
        </is>
      </c>
      <c r="E103" s="18" t="inlineStr">
        <is>
          <t>Partially implemented</t>
        </is>
      </c>
      <c r="F103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03" t="inlineStr">
        <is>
          <t>Current state includes documented gaps; treatment is tracked in Risk Register R-01 to R-09 and linked procedures.</t>
        </is>
      </c>
    </row>
    <row r="104" ht="15" customHeight="1" s="63">
      <c r="B104" s="22" t="n"/>
      <c r="C104" s="1" t="inlineStr">
        <is>
          <t>A.8.19 Installation of software on operational systems</t>
        </is>
      </c>
      <c r="D104" s="18" t="inlineStr">
        <is>
          <t>Yes</t>
        </is>
      </c>
      <c r="E104" s="18" t="inlineStr">
        <is>
          <t>Partially implemented</t>
        </is>
      </c>
      <c r="F104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04" t="inlineStr">
        <is>
          <t>Current state includes documented gaps; treatment is tracked in Risk Register R-01 to R-09 and linked procedures.</t>
        </is>
      </c>
    </row>
    <row r="105" ht="15" customHeight="1" s="63">
      <c r="B105" s="22" t="n"/>
      <c r="C105" s="1" t="inlineStr">
        <is>
          <t>A.8.20 Networks security</t>
        </is>
      </c>
      <c r="D105" s="18" t="inlineStr">
        <is>
          <t>Yes</t>
        </is>
      </c>
      <c r="E105" s="18" t="inlineStr">
        <is>
          <t>Partially implemented</t>
        </is>
      </c>
      <c r="F105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05" t="inlineStr">
        <is>
          <t>Current state includes documented gaps; treatment is tracked in Risk Register R-01 to R-09 and linked procedures.</t>
        </is>
      </c>
    </row>
    <row r="106" ht="15" customHeight="1" s="63">
      <c r="B106" s="22" t="n"/>
      <c r="C106" s="1" t="inlineStr">
        <is>
          <t>A.8.21 Security of network services</t>
        </is>
      </c>
      <c r="D106" s="18" t="inlineStr">
        <is>
          <t>Yes</t>
        </is>
      </c>
      <c r="E106" s="18" t="inlineStr">
        <is>
          <t>Partially implemented</t>
        </is>
      </c>
      <c r="F106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06" t="inlineStr">
        <is>
          <t>Current state includes documented gaps; treatment is tracked in Risk Register R-01 to R-09 and linked procedures.</t>
        </is>
      </c>
    </row>
    <row r="107" ht="15" customHeight="1" s="63">
      <c r="B107" s="22" t="n"/>
      <c r="C107" s="1" t="inlineStr">
        <is>
          <t>A.8.22 Segregation of networks</t>
        </is>
      </c>
      <c r="D107" s="18" t="inlineStr">
        <is>
          <t>Yes</t>
        </is>
      </c>
      <c r="E107" s="18" t="inlineStr">
        <is>
          <t>Partially implemented</t>
        </is>
      </c>
      <c r="F107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07" t="inlineStr">
        <is>
          <t>Current state includes documented gaps; treatment is tracked in Risk Register R-01 to R-09 and linked procedures.</t>
        </is>
      </c>
    </row>
    <row r="108" ht="15" customHeight="1" s="63">
      <c r="B108" s="22" t="n"/>
      <c r="C108" s="1" t="inlineStr">
        <is>
          <t>A.8.23 Web filtering</t>
        </is>
      </c>
      <c r="D108" s="18" t="inlineStr">
        <is>
          <t>Yes</t>
        </is>
      </c>
      <c r="E108" s="18" t="inlineStr">
        <is>
          <t>Partially implemented</t>
        </is>
      </c>
      <c r="F108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08" t="inlineStr">
        <is>
          <t>Current state includes documented gaps; treatment is tracked in Risk Register R-01 to R-09 and linked procedures.</t>
        </is>
      </c>
    </row>
    <row r="109" ht="15" customHeight="1" s="63">
      <c r="B109" s="22" t="n"/>
      <c r="C109" s="1" t="inlineStr">
        <is>
          <t>A.8.24 Use of cryptography</t>
        </is>
      </c>
      <c r="D109" s="18" t="inlineStr">
        <is>
          <t>Yes</t>
        </is>
      </c>
      <c r="E109" s="18" t="inlineStr">
        <is>
          <t>Partially implemented</t>
        </is>
      </c>
      <c r="F109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09" t="inlineStr">
        <is>
          <t>Current state includes documented gaps; treatment is tracked in Risk Register R-01 to R-09 and linked procedures.</t>
        </is>
      </c>
    </row>
    <row r="110" ht="15" customHeight="1" s="63">
      <c r="B110" s="22" t="n"/>
      <c r="C110" s="1" t="inlineStr">
        <is>
          <t>A.8.25 Secure development life cycle</t>
        </is>
      </c>
      <c r="D110" s="18" t="inlineStr">
        <is>
          <t>Yes</t>
        </is>
      </c>
      <c r="E110" s="18" t="inlineStr">
        <is>
          <t>Partially implemented</t>
        </is>
      </c>
      <c r="F110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10" t="inlineStr">
        <is>
          <t>Current state includes documented gaps; treatment is tracked in Risk Register R-01 to R-09 and linked procedures.</t>
        </is>
      </c>
    </row>
    <row r="111" ht="15" customHeight="1" s="63">
      <c r="B111" s="22" t="n"/>
      <c r="C111" s="1" t="inlineStr">
        <is>
          <t>A.8.26 Application security requirements</t>
        </is>
      </c>
      <c r="D111" s="18" t="inlineStr">
        <is>
          <t>Yes</t>
        </is>
      </c>
      <c r="E111" s="18" t="inlineStr">
        <is>
          <t>Partially implemented</t>
        </is>
      </c>
      <c r="F111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11" t="inlineStr">
        <is>
          <t>Current state includes documented gaps; treatment is tracked in Risk Register R-01 to R-09 and linked procedures.</t>
        </is>
      </c>
    </row>
    <row r="112" ht="15" customHeight="1" s="63">
      <c r="B112" s="22" t="n"/>
      <c r="C112" s="1" t="inlineStr">
        <is>
          <t>A.8.27 Secure system architecture and engineering principles</t>
        </is>
      </c>
      <c r="D112" s="18" t="inlineStr">
        <is>
          <t>Yes</t>
        </is>
      </c>
      <c r="E112" s="18" t="inlineStr">
        <is>
          <t>Partially implemented</t>
        </is>
      </c>
      <c r="F112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12" t="inlineStr">
        <is>
          <t>Current state includes documented gaps; treatment is tracked in Risk Register R-01 to R-09 and linked procedures.</t>
        </is>
      </c>
    </row>
    <row r="113" ht="15" customHeight="1" s="63">
      <c r="B113" s="22" t="n"/>
      <c r="C113" s="1" t="inlineStr">
        <is>
          <t>A.8.28 Secure coding</t>
        </is>
      </c>
      <c r="D113" s="18" t="inlineStr">
        <is>
          <t>Yes</t>
        </is>
      </c>
      <c r="E113" s="18" t="inlineStr">
        <is>
          <t>Partially implemented</t>
        </is>
      </c>
      <c r="F113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13" t="inlineStr">
        <is>
          <t>Current state includes documented gaps; treatment is tracked in Risk Register R-01 to R-09 and linked procedures.</t>
        </is>
      </c>
    </row>
    <row r="114" ht="15" customHeight="1" s="63">
      <c r="B114" s="22" t="n"/>
      <c r="C114" s="1" t="inlineStr">
        <is>
          <t>A.8.29 Security testing in development and acceptance</t>
        </is>
      </c>
      <c r="D114" s="18" t="inlineStr">
        <is>
          <t>Yes</t>
        </is>
      </c>
      <c r="E114" s="18" t="inlineStr">
        <is>
          <t>Partially implemented</t>
        </is>
      </c>
      <c r="F114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14" t="inlineStr">
        <is>
          <t>Current state includes documented gaps; treatment is tracked in Risk Register R-01 to R-09 and linked procedures.</t>
        </is>
      </c>
    </row>
    <row r="115" ht="15" customHeight="1" s="63">
      <c r="B115" s="22" t="n"/>
      <c r="C115" s="1" t="inlineStr">
        <is>
          <t>A.8.30 Outsourced development</t>
        </is>
      </c>
      <c r="D115" s="18" t="inlineStr">
        <is>
          <t>Yes</t>
        </is>
      </c>
      <c r="E115" s="18" t="inlineStr">
        <is>
          <t>Partially implemented</t>
        </is>
      </c>
      <c r="F115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15" t="inlineStr">
        <is>
          <t>Current state includes documented gaps; treatment is tracked in Risk Register R-01 to R-09 and linked procedures.</t>
        </is>
      </c>
    </row>
    <row r="116" ht="15" customHeight="1" s="63">
      <c r="C116" s="1" t="inlineStr">
        <is>
          <t>A.8.31 Separation of development, test and production environments</t>
        </is>
      </c>
      <c r="D116" s="18" t="inlineStr">
        <is>
          <t>Yes</t>
        </is>
      </c>
      <c r="E116" s="18" t="inlineStr">
        <is>
          <t>Partially implemented</t>
        </is>
      </c>
      <c r="F116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16" t="inlineStr">
        <is>
          <t>Current state includes documented gaps; treatment is tracked in Risk Register R-01 to R-09 and linked procedures.</t>
        </is>
      </c>
    </row>
    <row r="117" ht="15" customHeight="1" s="63">
      <c r="C117" s="1" t="inlineStr">
        <is>
          <t>A.8.32 Change management</t>
        </is>
      </c>
      <c r="D117" s="18" t="inlineStr">
        <is>
          <t>Yes</t>
        </is>
      </c>
      <c r="E117" s="18" t="inlineStr">
        <is>
          <t>Partially implemented</t>
        </is>
      </c>
      <c r="F117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17" t="inlineStr">
        <is>
          <t>Current state includes documented gaps; treatment is tracked in Risk Register R-01 to R-09 and linked procedures.</t>
        </is>
      </c>
    </row>
    <row r="118" ht="15" customHeight="1" s="63">
      <c r="C118" s="1" t="inlineStr">
        <is>
          <t>A.8.33 Test information</t>
        </is>
      </c>
      <c r="D118" s="18" t="inlineStr">
        <is>
          <t>Yes</t>
        </is>
      </c>
      <c r="E118" s="18" t="inlineStr">
        <is>
          <t>Partially implemented</t>
        </is>
      </c>
      <c r="F118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18" t="inlineStr">
        <is>
          <t>Current state includes documented gaps; treatment is tracked in Risk Register R-01 to R-09 and linked procedures.</t>
        </is>
      </c>
    </row>
    <row r="119" ht="15" customHeight="1" s="63">
      <c r="C119" s="1" t="inlineStr">
        <is>
          <t>A.8.34 Protection of information systems during audit testing</t>
        </is>
      </c>
      <c r="D119" s="18" t="inlineStr">
        <is>
          <t>Yes</t>
        </is>
      </c>
      <c r="E119" s="18" t="inlineStr">
        <is>
          <t>Partially implemented</t>
        </is>
      </c>
      <c r="F119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19" t="inlineStr">
        <is>
          <t>Current state includes documented gaps; treatment is tracked in Risk Register R-01 to R-09 and linked procedures.</t>
        </is>
      </c>
    </row>
    <row r="120"/>
    <row r="121">
      <c r="B121" s="17" t="n"/>
      <c r="C121" s="19" t="inlineStr">
        <is>
          <t>Totals:</t>
        </is>
      </c>
      <c r="D121" s="20" t="inlineStr">
        <is>
          <t>Yes</t>
        </is>
      </c>
      <c r="E121" s="20" t="inlineStr">
        <is>
          <t>Partially implemented</t>
        </is>
      </c>
      <c r="F121" s="17" t="inlineStr">
        <is>
          <t>Applicable to Digital Horizons Bank banking, regulatory, customer, personnel, technology, supplier or continuity risk; inclusion is supported by the risk assessment and legal/regulatory context.</t>
        </is>
      </c>
      <c r="G121" s="17" t="inlineStr">
        <is>
          <t>Current state includes documented gaps; treatment is tracked in Risk Register R-01 to R-09 and linked procedures.</t>
        </is>
      </c>
    </row>
  </sheetData>
  <dataValidations count="1">
    <dataValidation sqref="D15:E51 D56:E63 D68:E81 D86:E119" showDropDown="0" showInputMessage="1" showErrorMessage="1" allowBlank="1" type="list">
      <formula1>"Yes,No"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64" fitToHeight="0" horizontalDpi="1200" verticalDpi="1200"/>
  <headerFooter>
    <oddHeader/>
    <oddFooter>&amp;L&amp;D&amp;CPage &amp;P of &amp;N&amp;R[Insert classification]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44"/>
  <sheetViews>
    <sheetView showGridLines="0" zoomScaleNormal="100" workbookViewId="0">
      <selection activeCell="A1" sqref="A1"/>
    </sheetView>
  </sheetViews>
  <sheetFormatPr baseColWidth="8" defaultRowHeight="15"/>
  <cols>
    <col width="2.85546875" customWidth="1" style="6" min="1" max="1"/>
    <col width="65.7109375" customWidth="1" style="6" min="2" max="2"/>
    <col width="15.7109375" customWidth="1" style="6" min="3" max="6"/>
    <col width="18.7109375" customWidth="1" style="6" min="7" max="7"/>
    <col width="5.7109375" customWidth="1" style="6" min="8" max="8"/>
    <col width="9.140625" customWidth="1" style="6" min="9" max="16384"/>
  </cols>
  <sheetData>
    <row r="1"/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 ht="21" customHeight="1" s="63">
      <c r="B8" s="64" t="inlineStr">
        <is>
          <t>ISO/IEC 27001 Statement of Applicability dashboard</t>
        </is>
      </c>
      <c r="AA8" s="37" t="n"/>
      <c r="AB8" s="37" t="n"/>
      <c r="AC8" s="37" t="n"/>
      <c r="AD8" s="37" t="n"/>
      <c r="AE8" s="37" t="n"/>
      <c r="AF8" s="37" t="n"/>
      <c r="AG8" s="37" t="n"/>
      <c r="AH8" s="37" t="n"/>
    </row>
    <row r="9" ht="15.75" customHeight="1" s="63">
      <c r="B9" s="65" t="inlineStr">
        <is>
          <t>To refresh chart data, click on “Refresh All” on the Data ribbon.</t>
        </is>
      </c>
    </row>
    <row r="10">
      <c r="B10" s="3" t="n"/>
    </row>
    <row r="11" ht="21.95" customHeight="1" s="63">
      <c r="B11" s="66" t="inlineStr">
        <is>
          <t>Statement of applicability results</t>
        </is>
      </c>
      <c r="C11" s="38" t="n"/>
      <c r="E11" s="38" t="n"/>
      <c r="F11" s="38" t="n"/>
    </row>
    <row r="12">
      <c r="B12" s="1" t="n"/>
    </row>
    <row r="13" ht="30" customHeight="1" s="63">
      <c r="B13" s="24" t="inlineStr">
        <is>
          <t>AREA OF STANDARD</t>
        </is>
      </c>
      <c r="C13" s="25" t="inlineStr">
        <is>
          <t>NO OF CONTROLS</t>
        </is>
      </c>
      <c r="D13" s="25" t="inlineStr">
        <is>
          <t>APPLICABLE CONTROLS</t>
        </is>
      </c>
      <c r="E13" s="25" t="inlineStr">
        <is>
          <t>% CONTROLS APPLICABLE</t>
        </is>
      </c>
      <c r="F13" s="25" t="inlineStr">
        <is>
          <t>CONTROLS IMPLEMENTED</t>
        </is>
      </c>
      <c r="G13" s="25" t="inlineStr">
        <is>
          <t>% APP CONTROLS IMPLEMENTED</t>
        </is>
      </c>
      <c r="H13" s="25" t="n"/>
      <c r="I13" s="39" t="inlineStr">
        <is>
          <t>ISO/IEC 27001 Annex A controls percentage of controls applicable and implemented radar chart</t>
        </is>
      </c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>
      <c r="B14" s="27" t="inlineStr">
        <is>
          <t>A.5 Organizational controls</t>
        </is>
      </c>
      <c r="C14" s="21" t="n">
        <v>37</v>
      </c>
      <c r="D14" s="31">
        <f>'ISO27001 Annex A Applicability'!D53</f>
        <v/>
      </c>
      <c r="E14" s="45">
        <f>ISO27001ApplicabilityTableResults11[[#This Row],[APPLICABLE CONTROLS]]/ISO27001ApplicabilityTableResults11[[#This Row],[NO OF CONTROLS]]</f>
        <v/>
      </c>
      <c r="F14" s="31">
        <f>'ISO27001 Annex A Applicability'!E53</f>
        <v/>
      </c>
      <c r="G14" s="35">
        <f>IF(D14=0,1,+F14/D14)</f>
        <v/>
      </c>
      <c r="H14" s="35" t="n"/>
      <c r="I14" s="35" t="n"/>
    </row>
    <row r="15">
      <c r="B15" s="28" t="inlineStr">
        <is>
          <t>A.6 People controls</t>
        </is>
      </c>
      <c r="C15" s="21" t="n">
        <v>8</v>
      </c>
      <c r="D15" s="31">
        <f>'ISO27001 Annex A Applicability'!D65</f>
        <v/>
      </c>
      <c r="E15" s="45">
        <f>ISO27001ApplicabilityTableResults11[[#This Row],[APPLICABLE CONTROLS]]/ISO27001ApplicabilityTableResults11[[#This Row],[NO OF CONTROLS]]</f>
        <v/>
      </c>
      <c r="F15" s="31">
        <f>'ISO27001 Annex A Applicability'!E65</f>
        <v/>
      </c>
      <c r="G15" s="35">
        <f>IF(D15=0,1,+F15/D15)</f>
        <v/>
      </c>
      <c r="H15" s="35" t="n"/>
      <c r="I15" s="35" t="n"/>
    </row>
    <row r="16">
      <c r="B16" s="27" t="inlineStr">
        <is>
          <t>A.7 Physical controls</t>
        </is>
      </c>
      <c r="C16" s="21" t="n">
        <v>14</v>
      </c>
      <c r="D16" s="31">
        <f>'ISO27001 Annex A Applicability'!D83</f>
        <v/>
      </c>
      <c r="E16" s="45">
        <f>ISO27001ApplicabilityTableResults11[[#This Row],[APPLICABLE CONTROLS]]/ISO27001ApplicabilityTableResults11[[#This Row],[NO OF CONTROLS]]</f>
        <v/>
      </c>
      <c r="F16" s="31">
        <f>'ISO27001 Annex A Applicability'!E83</f>
        <v/>
      </c>
      <c r="G16" s="35">
        <f>IF(D16=0,1,+F16/D16)</f>
        <v/>
      </c>
      <c r="H16" s="35" t="n"/>
      <c r="I16" s="35" t="n"/>
    </row>
    <row r="17">
      <c r="B17" s="28" t="inlineStr">
        <is>
          <t>A.8 Technological controls</t>
        </is>
      </c>
      <c r="C17" s="21" t="n">
        <v>34</v>
      </c>
      <c r="D17" s="31">
        <f>'ISO27001 Annex A Applicability'!D121</f>
        <v/>
      </c>
      <c r="E17" s="45">
        <f>ISO27001ApplicabilityTableResults11[[#This Row],[APPLICABLE CONTROLS]]/ISO27001ApplicabilityTableResults11[[#This Row],[NO OF CONTROLS]]</f>
        <v/>
      </c>
      <c r="F17" s="31">
        <f>'ISO27001 Annex A Applicability'!E121</f>
        <v/>
      </c>
      <c r="G17" s="35">
        <f>IF(D17=0,1,+F17/D17)</f>
        <v/>
      </c>
      <c r="H17" s="35" t="n"/>
      <c r="I17" s="35" t="n"/>
    </row>
    <row r="18">
      <c r="B18" s="29" t="inlineStr">
        <is>
          <t>Total</t>
        </is>
      </c>
      <c r="C18" s="30">
        <f>SUBTOTAL(109,ISO27001ApplicabilityTableResults11[NO OF CONTROLS])</f>
        <v/>
      </c>
      <c r="D18" s="32">
        <f>SUBTOTAL(109,ISO27001ApplicabilityTableResults11[APPLICABLE CONTROLS])</f>
        <v/>
      </c>
      <c r="E18" s="36">
        <f>SUBTOTAL(101,ISO27001ApplicabilityTableResults11[% CONTROLS APPLICABLE])</f>
        <v/>
      </c>
      <c r="F18" s="32">
        <f>SUBTOTAL(109,ISO27001ApplicabilityTableResults11[CONTROLS IMPLEMENTED])</f>
        <v/>
      </c>
      <c r="G18" s="36">
        <f>SUBTOTAL(101,ISO27001ApplicabilityTableResults11[% APP CONTROLS IMPLEMENTED])</f>
        <v/>
      </c>
      <c r="H18" s="35" t="n"/>
      <c r="I18" s="35" t="n"/>
    </row>
    <row r="19">
      <c r="B19" s="42" t="n"/>
      <c r="C19" s="30" t="n"/>
      <c r="D19" s="30" t="n"/>
      <c r="E19" s="43" t="n"/>
      <c r="F19" s="41" t="n"/>
      <c r="H19" s="35" t="n"/>
      <c r="I19" s="35" t="n"/>
    </row>
    <row r="20">
      <c r="C20" s="21" t="n"/>
      <c r="D20" s="21" t="n"/>
      <c r="E20" s="21" t="n"/>
      <c r="F20" s="41" t="n"/>
      <c r="H20" s="35" t="n"/>
      <c r="I20" s="35" t="n"/>
    </row>
    <row r="21">
      <c r="C21" s="21" t="n"/>
      <c r="D21" s="21" t="n"/>
      <c r="E21" s="21" t="n"/>
      <c r="F21" s="41" t="n"/>
      <c r="H21" s="35" t="n"/>
      <c r="I21" s="35" t="n"/>
    </row>
    <row r="22" ht="18.75" customHeight="1" s="63">
      <c r="B22" s="50" t="inlineStr">
        <is>
          <t>ISO/IEC 27001 Annex A controls number of controls applicable and implemented</t>
        </is>
      </c>
      <c r="C22" s="44" t="n"/>
      <c r="D22" s="44" t="n"/>
      <c r="E22" s="44" t="n"/>
      <c r="F22" s="61" t="n"/>
      <c r="G22" s="40" t="n"/>
      <c r="H22" s="35" t="n"/>
      <c r="I22" s="35" t="n"/>
    </row>
    <row r="23">
      <c r="C23" s="21" t="n"/>
      <c r="D23" s="21" t="n"/>
      <c r="E23" s="21" t="n"/>
      <c r="F23" s="41" t="n"/>
      <c r="H23" s="35" t="n"/>
      <c r="I23" s="35" t="n"/>
    </row>
    <row r="24">
      <c r="H24" s="35" t="n"/>
      <c r="I24" s="35" t="n"/>
    </row>
    <row r="25">
      <c r="A25" s="28" t="n"/>
      <c r="H25" s="35" t="n"/>
      <c r="I25" s="35" t="n"/>
    </row>
    <row r="26">
      <c r="A26" s="28" t="n"/>
      <c r="H26" s="35" t="n"/>
      <c r="I26" s="35" t="n"/>
    </row>
    <row r="27">
      <c r="H27" s="35" t="n"/>
      <c r="I27" s="35" t="n"/>
    </row>
    <row r="28">
      <c r="H28" s="36" t="n"/>
      <c r="I28" s="36" t="n"/>
    </row>
    <row r="29"/>
    <row r="30"/>
    <row r="31"/>
    <row r="32" ht="21.95" customHeight="1" s="63"/>
    <row r="33"/>
    <row r="34"/>
    <row r="35"/>
    <row r="36"/>
    <row r="37"/>
    <row r="38" ht="18.75" customHeight="1" s="63">
      <c r="I38" s="39" t="inlineStr">
        <is>
          <t>ISO/IEC 27001 Annex A controls percentage of controls applicable and implemented</t>
        </is>
      </c>
      <c r="J38" s="40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0" t="n"/>
      <c r="X38" s="40" t="n"/>
      <c r="Y38" s="40" t="n"/>
      <c r="Z38" s="40" t="n"/>
    </row>
    <row r="39"/>
    <row r="40"/>
    <row r="41"/>
    <row r="42"/>
    <row r="43"/>
    <row r="44" ht="20.1" customHeight="1" s="63">
      <c r="H44" s="60" t="n"/>
      <c r="I44" s="60" t="n"/>
      <c r="J44" s="62" t="n"/>
      <c r="K44" s="60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</row>
  </sheetData>
  <pageMargins left="0.2362204724409449" right="0.2362204724409449" top="0.3937007874015748" bottom="0.3937007874015748" header="0.1968503937007874" footer="0.1968503937007874"/>
  <pageSetup orientation="landscape" paperSize="9" scale="43" horizontalDpi="360" verticalDpi="36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.85546875" customWidth="1" style="24" min="1" max="1"/>
    <col width="67.140625" customWidth="1" style="24" min="2" max="2"/>
    <col width="12.7109375" customWidth="1" style="31" min="3" max="4"/>
    <col width="12.7109375" customWidth="1" style="25" min="5" max="5"/>
    <col width="14.7109375" customWidth="1" style="31" min="6" max="6"/>
    <col width="19.28515625" customWidth="1" style="31" min="7" max="7"/>
    <col width="9.140625" customWidth="1" style="24" min="8" max="16384"/>
  </cols>
  <sheetData>
    <row r="1"/>
    <row r="2"/>
    <row r="3"/>
    <row r="4" ht="18.75" customHeight="1" s="63">
      <c r="B4" s="26" t="inlineStr">
        <is>
          <t>ISO/IEC 27001 Statement of Applicability results</t>
        </is>
      </c>
    </row>
    <row r="5"/>
    <row r="6" ht="30" customHeight="1" s="63">
      <c r="B6" s="24" t="inlineStr">
        <is>
          <t>AREA OF STANDARD</t>
        </is>
      </c>
      <c r="C6" s="25" t="inlineStr">
        <is>
          <t>NO OF CONTROLS</t>
        </is>
      </c>
      <c r="D6" s="25" t="inlineStr">
        <is>
          <t>APPLICABLE CONTROLS</t>
        </is>
      </c>
      <c r="E6" s="25" t="inlineStr">
        <is>
          <t>% CONTROLS APPLICABLE</t>
        </is>
      </c>
      <c r="F6" s="25" t="inlineStr">
        <is>
          <t>CONTROLS IMPLEMENTED</t>
        </is>
      </c>
      <c r="G6" s="25" t="inlineStr">
        <is>
          <t>% APP CONTROLS IMPLEMENTED</t>
        </is>
      </c>
    </row>
    <row r="7">
      <c r="B7" s="27" t="inlineStr">
        <is>
          <t>A.5 Organizational controls</t>
        </is>
      </c>
      <c r="C7" s="21" t="n">
        <v>37</v>
      </c>
      <c r="D7" s="31">
        <f>'ISO27001 Annex A Applicability'!D53</f>
        <v/>
      </c>
      <c r="E7" s="33">
        <f>ISO27001ApplicabilityTableResults[[#This Row],[APPLICABLE CONTROLS]]/ISO27001ApplicabilityTableResults[[#This Row],[NO OF CONTROLS]]</f>
        <v/>
      </c>
      <c r="F7" s="31">
        <f>'ISO27001 Annex A Applicability'!E53</f>
        <v/>
      </c>
      <c r="G7" s="35">
        <f>IF(D7=0,1,+F7/D7)</f>
        <v/>
      </c>
    </row>
    <row r="8">
      <c r="B8" s="28" t="inlineStr">
        <is>
          <t>A.6 People controls</t>
        </is>
      </c>
      <c r="C8" s="21" t="n">
        <v>8</v>
      </c>
      <c r="D8" s="31">
        <f>'ISO27001 Annex A Applicability'!D65</f>
        <v/>
      </c>
      <c r="E8" s="33">
        <f>ISO27001ApplicabilityTableResults[[#This Row],[APPLICABLE CONTROLS]]/ISO27001ApplicabilityTableResults[[#This Row],[NO OF CONTROLS]]</f>
        <v/>
      </c>
      <c r="F8" s="31">
        <f>'ISO27001 Annex A Applicability'!E65</f>
        <v/>
      </c>
      <c r="G8" s="35">
        <f>IF(D8=0,1,+F8/D8)</f>
        <v/>
      </c>
    </row>
    <row r="9">
      <c r="B9" s="27" t="inlineStr">
        <is>
          <t>A.7 Physical controls</t>
        </is>
      </c>
      <c r="C9" s="21" t="n">
        <v>14</v>
      </c>
      <c r="D9" s="31">
        <f>'ISO27001 Annex A Applicability'!D83</f>
        <v/>
      </c>
      <c r="E9" s="33">
        <f>ISO27001ApplicabilityTableResults[[#This Row],[APPLICABLE CONTROLS]]/ISO27001ApplicabilityTableResults[[#This Row],[NO OF CONTROLS]]</f>
        <v/>
      </c>
      <c r="F9" s="31">
        <f>'ISO27001 Annex A Applicability'!E83</f>
        <v/>
      </c>
      <c r="G9" s="35">
        <f>IF(D9=0,1,+F9/D9)</f>
        <v/>
      </c>
    </row>
    <row r="10">
      <c r="B10" s="28" t="inlineStr">
        <is>
          <t>A.8 Technological controls</t>
        </is>
      </c>
      <c r="C10" s="21" t="n">
        <v>34</v>
      </c>
      <c r="D10" s="31">
        <f>'ISO27001 Annex A Applicability'!D121</f>
        <v/>
      </c>
      <c r="E10" s="33">
        <f>ISO27001ApplicabilityTableResults[[#This Row],[APPLICABLE CONTROLS]]/ISO27001ApplicabilityTableResults[[#This Row],[NO OF CONTROLS]]</f>
        <v/>
      </c>
      <c r="F10" s="31">
        <f>'ISO27001 Annex A Applicability'!E121</f>
        <v/>
      </c>
      <c r="G10" s="35">
        <f>IF(D10=0,1,+F10/D10)</f>
        <v/>
      </c>
    </row>
    <row r="11">
      <c r="B11" s="29" t="inlineStr">
        <is>
          <t>Total</t>
        </is>
      </c>
      <c r="C11" s="30">
        <f>SUBTOTAL(109,ISO27001ApplicabilityTableResults[NO OF CONTROLS])</f>
        <v/>
      </c>
      <c r="D11" s="32">
        <f>SUBTOTAL(109,ISO27001ApplicabilityTableResults[APPLICABLE CONTROLS])</f>
        <v/>
      </c>
      <c r="E11" s="34">
        <f>SUBTOTAL(101,ISO27001ApplicabilityTableResults[% CONTROLS APPLICABLE])</f>
        <v/>
      </c>
      <c r="F11" s="32">
        <f>SUBTOTAL(109,ISO27001ApplicabilityTableResults[CONTROLS IMPLEMENTED])</f>
        <v/>
      </c>
      <c r="G11" s="36">
        <f>SUBTOTAL(101,ISO27001ApplicabilityTableResults[% APP CONTROLS IMPLEMENTED])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.85546875" customWidth="1" style="24" min="1" max="1"/>
    <col width="25.140625" bestFit="1" customWidth="1" style="24" min="2" max="2"/>
    <col width="22.140625" bestFit="1" customWidth="1" style="49" min="3" max="3"/>
    <col width="24.7109375" bestFit="1" customWidth="1" style="49" min="4" max="5"/>
    <col width="64.140625" bestFit="1" customWidth="1" style="24" min="6" max="30"/>
    <col width="9.140625" customWidth="1" style="24" min="31" max="16384"/>
  </cols>
  <sheetData>
    <row r="1"/>
    <row r="2"/>
    <row r="3"/>
    <row r="4" ht="18.75" customHeight="1" s="63">
      <c r="B4" s="26" t="inlineStr">
        <is>
          <t>ISO/IEC 27001 Annex A Controls Number of Controls Applicable and Implemented</t>
        </is>
      </c>
    </row>
    <row r="5"/>
    <row r="6">
      <c r="B6" s="47" t="inlineStr">
        <is>
          <t>AREA OF STANDARD</t>
        </is>
      </c>
      <c r="C6" s="47" t="inlineStr">
        <is>
          <t xml:space="preserve">APPLICABLE CONTROLS </t>
        </is>
      </c>
      <c r="D6" s="47" t="inlineStr">
        <is>
          <t xml:space="preserve">CONTROLS IMPLEMENTED </t>
        </is>
      </c>
    </row>
    <row r="7">
      <c r="B7" s="24" t="inlineStr">
        <is>
          <t>A.8 Technological controls</t>
        </is>
      </c>
      <c r="C7" s="49" t="n">
        <v>34</v>
      </c>
      <c r="D7" s="49" t="n">
        <v>34</v>
      </c>
    </row>
    <row r="8">
      <c r="B8" s="24" t="inlineStr">
        <is>
          <t>A.7 Physical controls</t>
        </is>
      </c>
      <c r="C8" s="49" t="n">
        <v>14</v>
      </c>
      <c r="D8" s="49" t="n">
        <v>14</v>
      </c>
    </row>
    <row r="9">
      <c r="B9" s="24" t="inlineStr">
        <is>
          <t>A.6 People controls</t>
        </is>
      </c>
      <c r="C9" s="49" t="n">
        <v>8</v>
      </c>
      <c r="D9" s="49" t="n">
        <v>8</v>
      </c>
    </row>
    <row r="10">
      <c r="B10" s="24" t="inlineStr">
        <is>
          <t>A.5 Organizational controls</t>
        </is>
      </c>
      <c r="C10" s="49" t="n">
        <v>37</v>
      </c>
      <c r="D10" s="49" t="n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4.25" customHeight="1"/>
  <cols>
    <col width="2.85546875" customWidth="1" style="63" min="1" max="1"/>
    <col width="25.140625" bestFit="1" customWidth="1" style="63" min="2" max="2"/>
    <col width="14.140625" bestFit="1" customWidth="1" style="51" min="3" max="3"/>
    <col width="12.42578125" bestFit="1" customWidth="1" style="51" min="4" max="4"/>
  </cols>
  <sheetData>
    <row r="1" ht="14.25" customFormat="1" customHeight="1" s="53">
      <c r="C1" s="54" t="n"/>
      <c r="D1" s="54" t="n"/>
    </row>
    <row r="2" ht="14.25" customFormat="1" customHeight="1" s="53">
      <c r="C2" s="54" t="n"/>
      <c r="D2" s="54" t="n"/>
    </row>
    <row r="3" ht="14.25" customFormat="1" customHeight="1" s="53">
      <c r="C3" s="54" t="n"/>
      <c r="D3" s="54" t="n"/>
    </row>
    <row r="4" ht="14.25" customFormat="1" customHeight="1" s="53">
      <c r="B4" s="55" t="inlineStr">
        <is>
          <t>ISO/IEC 27001 Annex A Controls Percentage of Controls Applicable and Implemented</t>
        </is>
      </c>
      <c r="C4" s="54" t="n"/>
      <c r="D4" s="54" t="n"/>
    </row>
    <row r="5" ht="14.25" customFormat="1" customHeight="1" s="53">
      <c r="C5" s="54" t="n"/>
      <c r="D5" s="54" t="n"/>
    </row>
    <row r="6" ht="45" customFormat="1" customHeight="1" s="53">
      <c r="B6" s="56" t="inlineStr">
        <is>
          <t>AREA OF STANDARD</t>
        </is>
      </c>
      <c r="C6" s="57" t="inlineStr">
        <is>
          <t xml:space="preserve">% APP CONTROLS IMPLEMENTED </t>
        </is>
      </c>
      <c r="D6" s="57" t="inlineStr">
        <is>
          <t xml:space="preserve">% CONTROLS APPLICABLE </t>
        </is>
      </c>
    </row>
    <row r="7" ht="15" customFormat="1" customHeight="1" s="53">
      <c r="B7" s="53" t="inlineStr">
        <is>
          <t>A.5 Organizational controls</t>
        </is>
      </c>
      <c r="C7" s="58" t="n">
        <v>1</v>
      </c>
      <c r="D7" s="58" t="n">
        <v>1</v>
      </c>
    </row>
    <row r="8" ht="15" customFormat="1" customHeight="1" s="53">
      <c r="B8" s="53" t="inlineStr">
        <is>
          <t>A.6 People controls</t>
        </is>
      </c>
      <c r="C8" s="58" t="n">
        <v>1</v>
      </c>
      <c r="D8" s="58" t="n">
        <v>1</v>
      </c>
    </row>
    <row r="9" ht="15" customFormat="1" customHeight="1" s="53">
      <c r="B9" s="53" t="inlineStr">
        <is>
          <t>A.7 Physical controls</t>
        </is>
      </c>
      <c r="C9" s="58" t="n">
        <v>1</v>
      </c>
      <c r="D9" s="58" t="n">
        <v>1</v>
      </c>
    </row>
    <row r="10" ht="15" customFormat="1" customHeight="1" s="53">
      <c r="B10" s="53" t="inlineStr">
        <is>
          <t>A.8 Technological controls</t>
        </is>
      </c>
      <c r="C10" s="58" t="n">
        <v>1</v>
      </c>
      <c r="D10" s="58" t="n">
        <v>1</v>
      </c>
    </row>
    <row r="11" ht="15" customFormat="1" customHeight="1" s="53"/>
    <row r="12" ht="15" customFormat="1" customHeight="1" s="53"/>
    <row r="13" ht="15" customFormat="1" customHeight="1" s="53"/>
    <row r="14" ht="15" customFormat="1" customHeight="1" s="53"/>
    <row r="15" ht="15" customFormat="1" customHeight="1" s="53"/>
    <row r="16" ht="15" customFormat="1" customHeight="1" s="53"/>
    <row r="17" ht="15" customFormat="1" customHeight="1" s="53"/>
    <row r="18" ht="15" customFormat="1" customHeight="1" s="53"/>
    <row r="19" ht="15" customFormat="1" customHeight="1" s="53"/>
    <row r="20" ht="15" customFormat="1" customHeight="1" s="5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.85546875" customWidth="1" style="53" min="1" max="1"/>
    <col width="25.140625" bestFit="1" customWidth="1" style="53" min="2" max="2"/>
    <col width="16.5703125" bestFit="1" customWidth="1" style="53" min="3" max="3"/>
    <col width="12.42578125" bestFit="1" customWidth="1" style="53" min="4" max="4"/>
    <col width="9.140625" customWidth="1" style="53" min="5" max="16384"/>
  </cols>
  <sheetData>
    <row r="1"/>
    <row r="2"/>
    <row r="3"/>
    <row r="4" ht="18.75" customHeight="1" s="63">
      <c r="B4" s="55" t="inlineStr">
        <is>
          <t>ISO/IEC 27001 Annex A Controls Percentage of Controls Applicable and Implemented Radar Chart</t>
        </is>
      </c>
    </row>
    <row r="5"/>
    <row r="6" ht="30" customHeight="1" s="63">
      <c r="B6" s="47" t="inlineStr">
        <is>
          <t>AREA OF STANDARD</t>
        </is>
      </c>
      <c r="C6" s="52" t="inlineStr">
        <is>
          <t xml:space="preserve">% APP CONTROLS IMPLEMENTED </t>
        </is>
      </c>
      <c r="D6" s="52" t="inlineStr">
        <is>
          <t xml:space="preserve">% CONTROLS APPLICABLE </t>
        </is>
      </c>
    </row>
    <row r="7">
      <c r="B7" s="53" t="inlineStr">
        <is>
          <t>A.5 Organizational controls</t>
        </is>
      </c>
      <c r="C7" s="59" t="n">
        <v>1</v>
      </c>
      <c r="D7" s="59" t="n">
        <v>1</v>
      </c>
    </row>
    <row r="8">
      <c r="B8" s="53" t="inlineStr">
        <is>
          <t>A.6 People controls</t>
        </is>
      </c>
      <c r="C8" s="59" t="n">
        <v>1</v>
      </c>
      <c r="D8" s="59" t="n">
        <v>1</v>
      </c>
    </row>
    <row r="9">
      <c r="B9" s="53" t="inlineStr">
        <is>
          <t>A.7 Physical controls</t>
        </is>
      </c>
      <c r="C9" s="59" t="n">
        <v>1</v>
      </c>
      <c r="D9" s="59" t="n">
        <v>1</v>
      </c>
    </row>
    <row r="10">
      <c r="B10" s="53" t="inlineStr">
        <is>
          <t>A.8 Technological controls</t>
        </is>
      </c>
      <c r="C10" s="59" t="n">
        <v>1</v>
      </c>
      <c r="D10" s="59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Copyright CertiKit</dc:creator>
  <dc:title xmlns:dc="http://purl.org/dc/elements/1.1/">CertiKit ISO27001 Toolkit</dc:titl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2026-09-17T09:36:59Z</dcterms:modified>
  <cp:lastModifiedBy>Mark Clifton</cp:lastModifiedBy>
  <cp:lastPrinted>2021-04-08T15:51:17Z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0x010100DA843292D49187418BD21D9C97EA6F65</vt:lpwstr>
  </property>
  <property name="Order" fmtid="{D5CDD505-2E9C-101B-9397-08002B2CF9AE}" pid="3">
    <vt:r8 xmlns:vt="http://schemas.openxmlformats.org/officeDocument/2006/docPropsVTypes">1359100</vt:r8>
  </property>
  <property name="ComplianceAssetId" fmtid="{D5CDD505-2E9C-101B-9397-08002B2CF9AE}" pid="4">
    <vt:lpwstr xmlns:vt="http://schemas.openxmlformats.org/officeDocument/2006/docPropsVTypes"/>
  </property>
  <property name="_ExtendedDescription" fmtid="{D5CDD505-2E9C-101B-9397-08002B2CF9AE}" pid="5">
    <vt:lpwstr xmlns:vt="http://schemas.openxmlformats.org/officeDocument/2006/docPropsVTypes"/>
  </property>
  <property name="TriggerFlowInfo" fmtid="{D5CDD505-2E9C-101B-9397-08002B2CF9AE}" pid="6">
    <vt:lpwstr xmlns:vt="http://schemas.openxmlformats.org/officeDocument/2006/docPropsVTypes"/>
  </property>
  <property name="MediaServiceImageTags" fmtid="{D5CDD505-2E9C-101B-9397-08002B2CF9AE}" pid="7">
    <vt:lpwstr xmlns:vt="http://schemas.openxmlformats.org/officeDocument/2006/docPropsVTypes"/>
  </property>
</Properties>
</file>